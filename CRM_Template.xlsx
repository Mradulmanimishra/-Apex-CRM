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acts" sheetId="2" state="visible" r:id="rId4"/>
    <sheet name="Companies" sheetId="3" state="visible" r:id="rId5"/>
    <sheet name="Deals" sheetId="4" state="visible" r:id="rId6"/>
    <sheet name="Activities" sheetId="5" state="visible" r:id="rId7"/>
    <sheet name="Tickets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<sst xmlns="http://schemas.openxmlformats.org/spreadsheetml/2006/main" count="224" uniqueCount="169">
  <si>
    <t xml:space="preserve">CRM Workflow Template</t>
  </si>
  <si>
    <t xml:space="preserve">Companion to the CRM Workflow &amp; Data Structure Design Specification</t>
  </si>
  <si>
    <t xml:space="preserve">How this workbook is organized</t>
  </si>
  <si>
    <t xml:space="preserve">Contacts</t>
  </si>
  <si>
    <t xml:space="preserve">Master list of every person. This is the central hub — every other sheet links back to a Contact ID.</t>
  </si>
  <si>
    <t xml:space="preserve">Companies</t>
  </si>
  <si>
    <t xml:space="preserve">Organization-level records for B2B relationships. Linked to Contacts via Company ID.</t>
  </si>
  <si>
    <t xml:space="preserve">Deals</t>
  </si>
  <si>
    <t xml:space="preserve">Sales pipeline tracker. Each deal links to a Contact ID (and Company ID if B2B).</t>
  </si>
  <si>
    <t xml:space="preserve">Activities</t>
  </si>
  <si>
    <t xml:space="preserve">Log of every interaction (calls, emails, meetings). Links to Contact ID and optionally Deal ID.</t>
  </si>
  <si>
    <t xml:space="preserve">Tickets</t>
  </si>
  <si>
    <t xml:space="preserve">Post-sale support/issue tracking. Links to Contact ID.</t>
  </si>
  <si>
    <t xml:space="preserve">Dashboard</t>
  </si>
  <si>
    <t xml:space="preserve">Live pipeline and activity summary — pulls automatically from the Deals and Activities sheets.</t>
  </si>
  <si>
    <t xml:space="preserve">How to use it</t>
  </si>
  <si>
    <t xml:space="preserve">1. Add new contacts first</t>
  </si>
  <si>
    <t xml:space="preserve">Give each contact a unique Contact ID (e.g., C001, C002...). Use the next sequential number.</t>
  </si>
  <si>
    <t xml:space="preserve">2. Link records with IDs</t>
  </si>
  <si>
    <t xml:space="preserve">When creating a Deal, Activity, or Ticket, enter the matching Contact ID (and Company ID / Deal ID where relevant) so records stay connected.</t>
  </si>
  <si>
    <t xml:space="preserve">3. Use the dropdowns</t>
  </si>
  <si>
    <t xml:space="preserve">Stage, Status, Source, Type, and Priority columns have dropdown lists — use these for consistency so the Dashboard formulas work correctly.</t>
  </si>
  <si>
    <t xml:space="preserve">4. Check the Dashboard</t>
  </si>
  <si>
    <t xml:space="preserve">The Dashboard sheet updates automatically as you add/update Deals — no manual calculation needed.</t>
  </si>
  <si>
    <t xml:space="preserve">5. Adjust stage names if needed</t>
  </si>
  <si>
    <t xml:space="preserve">Default pipeline stages: New Lead, Qualified, Proposal Sent, Negotiation, Won, Lost. Rename in the Deals dropdown list and Dashboard formulas to match your business (e.g., B2C: Lead, Engaged, Cart/Quote, Purchased, Repeat Customer).</t>
  </si>
  <si>
    <t xml:space="preserve">ID conventions</t>
  </si>
  <si>
    <t xml:space="preserve">Contact ID</t>
  </si>
  <si>
    <t xml:space="preserve">C001, C002, C003 ...</t>
  </si>
  <si>
    <t xml:space="preserve">Company ID</t>
  </si>
  <si>
    <t xml:space="preserve">CM001, CM002, CM003 ...</t>
  </si>
  <si>
    <t xml:space="preserve">Deal ID</t>
  </si>
  <si>
    <t xml:space="preserve">D001, D002, D003 ...</t>
  </si>
  <si>
    <t xml:space="preserve">Activity ID</t>
  </si>
  <si>
    <t xml:space="preserve">A001, A002, A003 ...</t>
  </si>
  <si>
    <t xml:space="preserve">Ticket ID</t>
  </si>
  <si>
    <t xml:space="preserve">T001, T002, T003 ...</t>
  </si>
  <si>
    <t xml:space="preserve">Name</t>
  </si>
  <si>
    <t xml:space="preserve">Email</t>
  </si>
  <si>
    <t xml:space="preserve">Phone</t>
  </si>
  <si>
    <t xml:space="preserve">Role / Title</t>
  </si>
  <si>
    <t xml:space="preserve">Source</t>
  </si>
  <si>
    <t xml:space="preserve">Status</t>
  </si>
  <si>
    <t xml:space="preserve">Tags</t>
  </si>
  <si>
    <t xml:space="preserve">Last Contact Date</t>
  </si>
  <si>
    <t xml:space="preserve">Notes</t>
  </si>
  <si>
    <t xml:space="preserve">C001</t>
  </si>
  <si>
    <t xml:space="preserve">Aarav Mehta</t>
  </si>
  <si>
    <t xml:space="preserve">aarav.mehta@example.com</t>
  </si>
  <si>
    <t xml:space="preserve">+91 98765 43210</t>
  </si>
  <si>
    <t xml:space="preserve">Procurement Manager</t>
  </si>
  <si>
    <t xml:space="preserve">CM001</t>
  </si>
  <si>
    <t xml:space="preserve">Referral</t>
  </si>
  <si>
    <t xml:space="preserve">Active Customer</t>
  </si>
  <si>
    <t xml:space="preserve">Priority</t>
  </si>
  <si>
    <t xml:space="preserve">2026-06-05</t>
  </si>
  <si>
    <t xml:space="preserve">Met at trade expo; warm relationship</t>
  </si>
  <si>
    <t xml:space="preserve">C002</t>
  </si>
  <si>
    <t xml:space="preserve">Riya Sharma</t>
  </si>
  <si>
    <t xml:space="preserve">riya.sharma@example.com</t>
  </si>
  <si>
    <t xml:space="preserve">+91 91234 56780</t>
  </si>
  <si>
    <t xml:space="preserve">Owner</t>
  </si>
  <si>
    <t xml:space="preserve">CM002</t>
  </si>
  <si>
    <t xml:space="preserve">Website</t>
  </si>
  <si>
    <t xml:space="preserve">Lead</t>
  </si>
  <si>
    <t xml:space="preserve">New</t>
  </si>
  <si>
    <t xml:space="preserve">2026-06-08</t>
  </si>
  <si>
    <t xml:space="preserve">Filled contact form, interested in bulk order</t>
  </si>
  <si>
    <t xml:space="preserve">C003</t>
  </si>
  <si>
    <t xml:space="preserve">John Carter</t>
  </si>
  <si>
    <t xml:space="preserve">john.carter@example.com</t>
  </si>
  <si>
    <t xml:space="preserve">+1 415 555 0192</t>
  </si>
  <si>
    <t xml:space="preserve">Operations Lead</t>
  </si>
  <si>
    <t xml:space="preserve">Cold Outreach</t>
  </si>
  <si>
    <t xml:space="preserve">Follow-up</t>
  </si>
  <si>
    <t xml:space="preserve">2026-06-10</t>
  </si>
  <si>
    <t xml:space="preserve">Initial email sent, awaiting reply</t>
  </si>
  <si>
    <t xml:space="preserve">Company Name</t>
  </si>
  <si>
    <t xml:space="preserve">Industry</t>
  </si>
  <si>
    <t xml:space="preserve">Size</t>
  </si>
  <si>
    <t xml:space="preserve">Primary Contact ID</t>
  </si>
  <si>
    <t xml:space="preserve">Account Owner</t>
  </si>
  <si>
    <t xml:space="preserve">Nimbus Traders Pvt Ltd</t>
  </si>
  <si>
    <t xml:space="preserve">Wholesale Distribution</t>
  </si>
  <si>
    <t xml:space="preserve">51-200</t>
  </si>
  <si>
    <t xml:space="preserve">www.nimbustraders.com</t>
  </si>
  <si>
    <t xml:space="preserve">Priya Nair</t>
  </si>
  <si>
    <t xml:space="preserve">Long-term account, annual contract renewal in Sept</t>
  </si>
  <si>
    <t xml:space="preserve">Sharma Retail Group</t>
  </si>
  <si>
    <t xml:space="preserve">Retail</t>
  </si>
  <si>
    <t xml:space="preserve">11-50</t>
  </si>
  <si>
    <t xml:space="preserve">www.sharmaretail.in</t>
  </si>
  <si>
    <t xml:space="preserve">Vikram Singh</t>
  </si>
  <si>
    <t xml:space="preserve">Evaluating bulk supplier options</t>
  </si>
  <si>
    <t xml:space="preserve">Deal Name</t>
  </si>
  <si>
    <t xml:space="preserve">Stage</t>
  </si>
  <si>
    <t xml:space="preserve">Value</t>
  </si>
  <si>
    <t xml:space="preserve">Probability</t>
  </si>
  <si>
    <t xml:space="preserve">Weighted Value</t>
  </si>
  <si>
    <t xml:space="preserve">Expected Close Date</t>
  </si>
  <si>
    <t xml:space="preserve">Lost Reason</t>
  </si>
  <si>
    <t xml:space="preserve">D001</t>
  </si>
  <si>
    <t xml:space="preserve">Annual Supply Contract</t>
  </si>
  <si>
    <t xml:space="preserve">Negotiation</t>
  </si>
  <si>
    <t xml:space="preserve">2026-07-15</t>
  </si>
  <si>
    <t xml:space="preserve">D002</t>
  </si>
  <si>
    <t xml:space="preserve">Bulk Order - Q3</t>
  </si>
  <si>
    <t xml:space="preserve">Proposal Sent</t>
  </si>
  <si>
    <t xml:space="preserve">2026-06-30</t>
  </si>
  <si>
    <t xml:space="preserve">D003</t>
  </si>
  <si>
    <t xml:space="preserve">Pilot Order</t>
  </si>
  <si>
    <t xml:space="preserve">New Lead</t>
  </si>
  <si>
    <t xml:space="preserve">2026-07-30</t>
  </si>
  <si>
    <t xml:space="preserve">Date</t>
  </si>
  <si>
    <t xml:space="preserve">Type</t>
  </si>
  <si>
    <t xml:space="preserve">Next Action</t>
  </si>
  <si>
    <t xml:space="preserve">Next Action Date</t>
  </si>
  <si>
    <t xml:space="preserve">A001</t>
  </si>
  <si>
    <t xml:space="preserve">Meeting</t>
  </si>
  <si>
    <t xml:space="preserve">Discussed contract renewal terms</t>
  </si>
  <si>
    <t xml:space="preserve">Send revised proposal</t>
  </si>
  <si>
    <t xml:space="preserve">2026-06-12</t>
  </si>
  <si>
    <t xml:space="preserve">A002</t>
  </si>
  <si>
    <t xml:space="preserve">Sent product catalog and pricing sheet</t>
  </si>
  <si>
    <t xml:space="preserve">Follow up call</t>
  </si>
  <si>
    <t xml:space="preserve">2026-06-15</t>
  </si>
  <si>
    <t xml:space="preserve">A003</t>
  </si>
  <si>
    <t xml:space="preserve">Call</t>
  </si>
  <si>
    <t xml:space="preserve">Introductory call, gauged interest</t>
  </si>
  <si>
    <t xml:space="preserve">Send sample quote</t>
  </si>
  <si>
    <t xml:space="preserve">2026-06-17</t>
  </si>
  <si>
    <t xml:space="preserve">Issue Type</t>
  </si>
  <si>
    <t xml:space="preserve">Description</t>
  </si>
  <si>
    <t xml:space="preserve">Assigned To</t>
  </si>
  <si>
    <t xml:space="preserve">Opened Date</t>
  </si>
  <si>
    <t xml:space="preserve">Resolved Date</t>
  </si>
  <si>
    <t xml:space="preserve">T001</t>
  </si>
  <si>
    <t xml:space="preserve">Billing</t>
  </si>
  <si>
    <t xml:space="preserve">Discrepancy in last invoice amount</t>
  </si>
  <si>
    <t xml:space="preserve">Resolved</t>
  </si>
  <si>
    <t xml:space="preserve">Medium</t>
  </si>
  <si>
    <t xml:space="preserve">Finance Team</t>
  </si>
  <si>
    <t xml:space="preserve">2026-06-01</t>
  </si>
  <si>
    <t xml:space="preserve">2026-06-03</t>
  </si>
  <si>
    <t xml:space="preserve">T002</t>
  </si>
  <si>
    <t xml:space="preserve">Delivery Delay</t>
  </si>
  <si>
    <t xml:space="preserve">Order shipment delayed beyond promised date</t>
  </si>
  <si>
    <t xml:space="preserve">Open</t>
  </si>
  <si>
    <t xml:space="preserve">High</t>
  </si>
  <si>
    <t xml:space="preserve">Logistics Team</t>
  </si>
  <si>
    <t xml:space="preserve">2026-06-09</t>
  </si>
  <si>
    <t xml:space="preserve">Pipeline &amp; Activity Dashboard</t>
  </si>
  <si>
    <t xml:space="preserve">Updates automatically based on data entered in Deals and Activities sheets</t>
  </si>
  <si>
    <t xml:space="preserve">Pipeline by Stage</t>
  </si>
  <si>
    <t xml:space="preserve"># of Deals</t>
  </si>
  <si>
    <t xml:space="preserve">Total Value</t>
  </si>
  <si>
    <t xml:space="preserve">Qualified</t>
  </si>
  <si>
    <t xml:space="preserve">Won</t>
  </si>
  <si>
    <t xml:space="preserve">Lost</t>
  </si>
  <si>
    <t xml:space="preserve">Total</t>
  </si>
  <si>
    <t xml:space="preserve">Key Metrics</t>
  </si>
  <si>
    <t xml:space="preserve">Open Pipeline Value</t>
  </si>
  <si>
    <t xml:space="preserve">Weighted Open Pipeline</t>
  </si>
  <si>
    <t xml:space="preserve">Won Deals (Count)</t>
  </si>
  <si>
    <t xml:space="preserve">Lost Deals (Count)</t>
  </si>
  <si>
    <t xml:space="preserve">Win Rate</t>
  </si>
  <si>
    <t xml:space="preserve">Total Won Value</t>
  </si>
  <si>
    <t xml:space="preserve">Upcoming Follow-Ups (from Activities)</t>
  </si>
  <si>
    <t xml:space="preserve">Tip: in Excel/Google Sheets, sort or filter the Activities sheet by 'Next Action Date' to see what's due soonest — this keeps the dashboard simple and avoids volatile array formulas.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</si>
</sst>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%"/>
    <numFmt numFmtId="167" formatCode="General"/>
    <numFmt numFmtId="168" formatCode="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6.15" hidden="false" customHeight="false" outlineLevel="0" collapsed="false">
      <c r="A4" s="5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/>
      <c r="B11" s="4"/>
    </row>
    <row r="12" customFormat="false" ht="16.15" hidden="false" customHeight="false" outlineLevel="0" collapsed="false">
      <c r="A12" s="5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26.85" hidden="false" customHeight="false" outlineLevel="0" collapsed="false">
      <c r="A14" s="3" t="s">
        <v>18</v>
      </c>
      <c r="B14" s="4" t="s">
        <v>19</v>
      </c>
    </row>
    <row r="15" customFormat="false" ht="26.85" hidden="false" customHeight="false" outlineLevel="0" collapsed="false">
      <c r="A15" s="3" t="s">
        <v>20</v>
      </c>
      <c r="B15" s="4" t="s">
        <v>21</v>
      </c>
    </row>
    <row r="16" customFormat="false" ht="26.85" hidden="false" customHeight="false" outlineLevel="0" collapsed="false">
      <c r="A16" s="3" t="s">
        <v>22</v>
      </c>
      <c r="B16" s="4" t="s">
        <v>23</v>
      </c>
    </row>
    <row r="17" customFormat="false" ht="39.55" hidden="false" customHeight="false" outlineLevel="0" collapsed="false">
      <c r="A17" s="3" t="s">
        <v>24</v>
      </c>
      <c r="B17" s="4" t="s">
        <v>25</v>
      </c>
    </row>
    <row r="18" customFormat="false" ht="15" hidden="false" customHeight="false" outlineLevel="0" collapsed="false">
      <c r="A18" s="3"/>
      <c r="B18" s="4"/>
    </row>
    <row r="19" customFormat="false" ht="16.15" hidden="false" customHeight="false" outlineLevel="0" collapsed="false">
      <c r="A19" s="5" t="s">
        <v>26</v>
      </c>
    </row>
    <row r="20" customFormat="false" ht="15" hidden="false" customHeight="false" outlineLevel="0" collapsed="false">
      <c r="A20" s="3" t="s">
        <v>27</v>
      </c>
      <c r="B20" s="4" t="s">
        <v>28</v>
      </c>
    </row>
    <row r="21" customFormat="false" ht="15" hidden="false" customHeight="false" outlineLevel="0" collapsed="false">
      <c r="A21" s="3" t="s">
        <v>29</v>
      </c>
      <c r="B21" s="4" t="s">
        <v>30</v>
      </c>
    </row>
    <row r="22" customFormat="false" ht="15" hidden="false" customHeight="false" outlineLevel="0" collapsed="false">
      <c r="A22" s="3" t="s">
        <v>31</v>
      </c>
      <c r="B22" s="4" t="s">
        <v>32</v>
      </c>
    </row>
    <row r="23" customFormat="false" ht="15" hidden="false" customHeight="false" outlineLevel="0" collapsed="false">
      <c r="A23" s="3" t="s">
        <v>33</v>
      </c>
      <c r="B23" s="4" t="s">
        <v>34</v>
      </c>
    </row>
    <row r="24" customFormat="false" ht="15" hidden="false" customHeight="false" outlineLevel="0" collapsed="false">
      <c r="A24" s="3" t="s">
        <v>35</v>
      </c>
      <c r="B24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6" t="s">
        <v>27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29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</row>
    <row r="2" customFormat="false" ht="26.85" hidden="false" customHeight="false" outlineLevel="0" collapsed="false">
      <c r="A2" s="7" t="s">
        <v>46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7" t="s">
        <v>52</v>
      </c>
      <c r="H2" s="7" t="s">
        <v>53</v>
      </c>
      <c r="I2" s="7" t="s">
        <v>54</v>
      </c>
      <c r="J2" s="7" t="s">
        <v>55</v>
      </c>
      <c r="K2" s="7" t="s">
        <v>56</v>
      </c>
    </row>
    <row r="3" customFormat="false" ht="26.85" hidden="false" customHeight="false" outlineLevel="0" collapsed="false">
      <c r="A3" s="8" t="s">
        <v>57</v>
      </c>
      <c r="B3" s="8" t="s">
        <v>58</v>
      </c>
      <c r="C3" s="8" t="s">
        <v>59</v>
      </c>
      <c r="D3" s="8" t="s">
        <v>60</v>
      </c>
      <c r="E3" s="8" t="s">
        <v>61</v>
      </c>
      <c r="F3" s="8" t="s">
        <v>62</v>
      </c>
      <c r="G3" s="8" t="s">
        <v>63</v>
      </c>
      <c r="H3" s="8" t="s">
        <v>64</v>
      </c>
      <c r="I3" s="8" t="s">
        <v>65</v>
      </c>
      <c r="J3" s="8" t="s">
        <v>66</v>
      </c>
      <c r="K3" s="8" t="s">
        <v>67</v>
      </c>
    </row>
    <row r="4" customFormat="false" ht="26.85" hidden="false" customHeight="false" outlineLevel="0" collapsed="false">
      <c r="A4" s="7" t="s">
        <v>68</v>
      </c>
      <c r="B4" s="7" t="s">
        <v>69</v>
      </c>
      <c r="C4" s="7" t="s">
        <v>70</v>
      </c>
      <c r="D4" s="7" t="s">
        <v>71</v>
      </c>
      <c r="E4" s="7" t="s">
        <v>72</v>
      </c>
      <c r="F4" s="7"/>
      <c r="G4" s="7" t="s">
        <v>73</v>
      </c>
      <c r="H4" s="7" t="s">
        <v>64</v>
      </c>
      <c r="I4" s="7" t="s">
        <v>74</v>
      </c>
      <c r="J4" s="7" t="s">
        <v>75</v>
      </c>
      <c r="K4" s="7" t="s">
        <v>76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</sheetData>
  <dataValidations count="3">
    <dataValidation allowBlank="true" errorStyle="stop" operator="between" showDropDown="false" showErrorMessage="false" showInputMessage="false" sqref="G2:G201" type="list">
      <formula1>"Referral,Website,Cold Outreach,Social Media,Event/Trade Show,Advertisement,Other"</formula1>
      <formula2>0</formula2>
    </dataValidation>
    <dataValidation allowBlank="true" errorStyle="stop" operator="between" showDropDown="false" showErrorMessage="false" showInputMessage="false" sqref="H2:H201" type="list">
      <formula1>"Lead,Qualified,Active Customer,Inactive,Lost"</formula1>
      <formula2>0</formula2>
    </dataValidation>
    <dataValidation allowBlank="true" errorStyle="stop" operator="between" showDropDown="false" showErrorMessage="false" showInputMessage="false" sqref="I2:I201" type="list">
      <formula1>"New,Follow-up,Priority,Nurture,VIP"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6" t="s">
        <v>29</v>
      </c>
      <c r="B1" s="6" t="s">
        <v>77</v>
      </c>
      <c r="C1" s="6" t="s">
        <v>78</v>
      </c>
      <c r="D1" s="6" t="s">
        <v>79</v>
      </c>
      <c r="E1" s="6" t="s">
        <v>63</v>
      </c>
      <c r="F1" s="6" t="s">
        <v>80</v>
      </c>
      <c r="G1" s="6" t="s">
        <v>81</v>
      </c>
      <c r="H1" s="6" t="s">
        <v>45</v>
      </c>
    </row>
    <row r="2" customFormat="false" ht="26.85" hidden="false" customHeight="false" outlineLevel="0" collapsed="false">
      <c r="A2" s="7" t="s">
        <v>51</v>
      </c>
      <c r="B2" s="7" t="s">
        <v>82</v>
      </c>
      <c r="C2" s="7" t="s">
        <v>83</v>
      </c>
      <c r="D2" s="7" t="s">
        <v>84</v>
      </c>
      <c r="E2" s="7" t="s">
        <v>85</v>
      </c>
      <c r="F2" s="7" t="s">
        <v>46</v>
      </c>
      <c r="G2" s="7" t="s">
        <v>86</v>
      </c>
      <c r="H2" s="7" t="s">
        <v>87</v>
      </c>
    </row>
    <row r="3" customFormat="false" ht="15" hidden="false" customHeight="false" outlineLevel="0" collapsed="false">
      <c r="A3" s="8" t="s">
        <v>62</v>
      </c>
      <c r="B3" s="8" t="s">
        <v>88</v>
      </c>
      <c r="C3" s="8" t="s">
        <v>89</v>
      </c>
      <c r="D3" s="8" t="s">
        <v>90</v>
      </c>
      <c r="E3" s="8" t="s">
        <v>91</v>
      </c>
      <c r="F3" s="8" t="s">
        <v>57</v>
      </c>
      <c r="G3" s="8" t="s">
        <v>92</v>
      </c>
      <c r="H3" s="8" t="s">
        <v>93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</row>
  </sheetData>
  <dataValidations count="1">
    <dataValidation allowBlank="true" errorStyle="stop" operator="between" showDropDown="false" showErrorMessage="false" showInputMessage="false" sqref="D2:D201" type="list">
      <formula1>"1-10,11-50,51-200,201-500,500+"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1" min="9" style="0" width="16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6" t="s">
        <v>31</v>
      </c>
      <c r="B1" s="6" t="s">
        <v>94</v>
      </c>
      <c r="C1" s="6" t="s">
        <v>27</v>
      </c>
      <c r="D1" s="6" t="s">
        <v>29</v>
      </c>
      <c r="E1" s="6" t="s">
        <v>95</v>
      </c>
      <c r="F1" s="6" t="s">
        <v>96</v>
      </c>
      <c r="G1" s="6" t="s">
        <v>97</v>
      </c>
      <c r="H1" s="6" t="s">
        <v>98</v>
      </c>
      <c r="I1" s="6" t="s">
        <v>99</v>
      </c>
      <c r="J1" s="6" t="s">
        <v>61</v>
      </c>
      <c r="K1" s="6" t="s">
        <v>41</v>
      </c>
      <c r="L1" s="6" t="s">
        <v>100</v>
      </c>
    </row>
    <row r="2" customFormat="false" ht="15" hidden="false" customHeight="false" outlineLevel="0" collapsed="false">
      <c r="A2" s="7" t="s">
        <v>101</v>
      </c>
      <c r="B2" s="7" t="s">
        <v>102</v>
      </c>
      <c r="C2" s="7" t="s">
        <v>46</v>
      </c>
      <c r="D2" s="7" t="s">
        <v>51</v>
      </c>
      <c r="E2" s="7" t="s">
        <v>103</v>
      </c>
      <c r="F2" s="9" t="n">
        <v>850000</v>
      </c>
      <c r="G2" s="10" t="n">
        <v>0.7</v>
      </c>
      <c r="H2" s="9" t="n">
        <f aca="false">IF(F2="","",F2*G2)</f>
        <v>595000</v>
      </c>
      <c r="I2" s="7" t="s">
        <v>104</v>
      </c>
      <c r="J2" s="7" t="s">
        <v>86</v>
      </c>
      <c r="K2" s="7" t="s">
        <v>52</v>
      </c>
      <c r="L2" s="7"/>
    </row>
    <row r="3" customFormat="false" ht="15" hidden="false" customHeight="false" outlineLevel="0" collapsed="false">
      <c r="A3" s="8" t="s">
        <v>105</v>
      </c>
      <c r="B3" s="8" t="s">
        <v>106</v>
      </c>
      <c r="C3" s="8" t="s">
        <v>57</v>
      </c>
      <c r="D3" s="8" t="s">
        <v>62</v>
      </c>
      <c r="E3" s="8" t="s">
        <v>107</v>
      </c>
      <c r="F3" s="11" t="n">
        <v>320000</v>
      </c>
      <c r="G3" s="12" t="n">
        <v>0.4</v>
      </c>
      <c r="H3" s="11" t="n">
        <f aca="false">IF(F3="","",F3*G3)</f>
        <v>128000</v>
      </c>
      <c r="I3" s="8" t="s">
        <v>108</v>
      </c>
      <c r="J3" s="8" t="s">
        <v>92</v>
      </c>
      <c r="K3" s="8" t="s">
        <v>63</v>
      </c>
      <c r="L3" s="8"/>
    </row>
    <row r="4" customFormat="false" ht="15" hidden="false" customHeight="false" outlineLevel="0" collapsed="false">
      <c r="A4" s="7" t="s">
        <v>109</v>
      </c>
      <c r="B4" s="7" t="s">
        <v>110</v>
      </c>
      <c r="C4" s="7" t="s">
        <v>68</v>
      </c>
      <c r="D4" s="7"/>
      <c r="E4" s="7" t="s">
        <v>111</v>
      </c>
      <c r="F4" s="9" t="n">
        <v>75000</v>
      </c>
      <c r="G4" s="10" t="n">
        <v>0.1</v>
      </c>
      <c r="H4" s="9" t="n">
        <f aca="false">IF(F4="","",F4*G4)</f>
        <v>7500</v>
      </c>
      <c r="I4" s="7" t="s">
        <v>112</v>
      </c>
      <c r="J4" s="7" t="s">
        <v>92</v>
      </c>
      <c r="K4" s="7" t="s">
        <v>73</v>
      </c>
      <c r="L4" s="7"/>
    </row>
    <row r="5" customFormat="false" ht="15" hidden="false" customHeight="false" outlineLevel="0" collapsed="false">
      <c r="A5" s="8"/>
      <c r="B5" s="8"/>
      <c r="C5" s="8"/>
      <c r="D5" s="8"/>
      <c r="E5" s="8"/>
      <c r="F5" s="11"/>
      <c r="G5" s="12"/>
      <c r="H5" s="11" t="str">
        <f aca="false">IF(F5="","",F5*G5)</f>
        <v/>
      </c>
      <c r="I5" s="8"/>
      <c r="J5" s="8"/>
      <c r="K5" s="8"/>
      <c r="L5" s="8"/>
    </row>
    <row r="6" customFormat="false" ht="15" hidden="false" customHeight="false" outlineLevel="0" collapsed="false">
      <c r="A6" s="7"/>
      <c r="B6" s="7"/>
      <c r="C6" s="7"/>
      <c r="D6" s="7"/>
      <c r="E6" s="7"/>
      <c r="F6" s="9"/>
      <c r="G6" s="10"/>
      <c r="H6" s="9" t="str">
        <f aca="false">IF(F6="","",F6*G6)</f>
        <v/>
      </c>
      <c r="I6" s="7"/>
      <c r="J6" s="7"/>
      <c r="K6" s="7"/>
      <c r="L6" s="7"/>
    </row>
    <row r="7" customFormat="false" ht="15" hidden="false" customHeight="false" outlineLevel="0" collapsed="false">
      <c r="A7" s="8"/>
      <c r="B7" s="8"/>
      <c r="C7" s="8"/>
      <c r="D7" s="8"/>
      <c r="E7" s="8"/>
      <c r="F7" s="11"/>
      <c r="G7" s="12"/>
      <c r="H7" s="11" t="str">
        <f aca="false">IF(F7="","",F7*G7)</f>
        <v/>
      </c>
      <c r="I7" s="8"/>
      <c r="J7" s="8"/>
      <c r="K7" s="8"/>
      <c r="L7" s="8"/>
    </row>
    <row r="8" customFormat="false" ht="15" hidden="false" customHeight="false" outlineLevel="0" collapsed="false">
      <c r="A8" s="7"/>
      <c r="B8" s="7"/>
      <c r="C8" s="7"/>
      <c r="D8" s="7"/>
      <c r="E8" s="7"/>
      <c r="F8" s="9"/>
      <c r="G8" s="10"/>
      <c r="H8" s="9" t="str">
        <f aca="false">IF(F8="","",F8*G8)</f>
        <v/>
      </c>
      <c r="I8" s="7"/>
      <c r="J8" s="7"/>
      <c r="K8" s="7"/>
      <c r="L8" s="7"/>
    </row>
    <row r="9" customFormat="false" ht="15" hidden="false" customHeight="false" outlineLevel="0" collapsed="false">
      <c r="A9" s="8"/>
      <c r="B9" s="8"/>
      <c r="C9" s="8"/>
      <c r="D9" s="8"/>
      <c r="E9" s="8"/>
      <c r="F9" s="11"/>
      <c r="G9" s="12"/>
      <c r="H9" s="11" t="str">
        <f aca="false">IF(F9="","",F9*G9)</f>
        <v/>
      </c>
      <c r="I9" s="8"/>
      <c r="J9" s="8"/>
      <c r="K9" s="8"/>
      <c r="L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9"/>
      <c r="G10" s="10"/>
      <c r="H10" s="9" t="str">
        <f aca="false">IF(F10="","",F10*G10)</f>
        <v/>
      </c>
      <c r="I10" s="7"/>
      <c r="J10" s="7"/>
      <c r="K10" s="7"/>
      <c r="L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11"/>
      <c r="G11" s="12"/>
      <c r="H11" s="11" t="str">
        <f aca="false">IF(F11="","",F11*G11)</f>
        <v/>
      </c>
      <c r="I11" s="8"/>
      <c r="J11" s="8"/>
      <c r="K11" s="8"/>
      <c r="L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9"/>
      <c r="G12" s="10"/>
      <c r="H12" s="9" t="str">
        <f aca="false">IF(F12="","",F12*G12)</f>
        <v/>
      </c>
      <c r="I12" s="7"/>
      <c r="J12" s="7"/>
      <c r="K12" s="7"/>
      <c r="L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11"/>
      <c r="G13" s="12"/>
      <c r="H13" s="11" t="str">
        <f aca="false">IF(F13="","",F13*G13)</f>
        <v/>
      </c>
      <c r="I13" s="8"/>
      <c r="J13" s="8"/>
      <c r="K13" s="8"/>
      <c r="L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9"/>
      <c r="G14" s="10"/>
      <c r="H14" s="9" t="str">
        <f aca="false">IF(F14="","",F14*G14)</f>
        <v/>
      </c>
      <c r="I14" s="7"/>
      <c r="J14" s="7"/>
      <c r="K14" s="7"/>
      <c r="L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11"/>
      <c r="G15" s="12"/>
      <c r="H15" s="11" t="str">
        <f aca="false">IF(F15="","",F15*G15)</f>
        <v/>
      </c>
      <c r="I15" s="8"/>
      <c r="J15" s="8"/>
      <c r="K15" s="8"/>
      <c r="L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9"/>
      <c r="G16" s="10"/>
      <c r="H16" s="9" t="str">
        <f aca="false">IF(F16="","",F16*G16)</f>
        <v/>
      </c>
      <c r="I16" s="7"/>
      <c r="J16" s="7"/>
      <c r="K16" s="7"/>
      <c r="L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11"/>
      <c r="G17" s="12"/>
      <c r="H17" s="11" t="str">
        <f aca="false">IF(F17="","",F17*G17)</f>
        <v/>
      </c>
      <c r="I17" s="8"/>
      <c r="J17" s="8"/>
      <c r="K17" s="8"/>
      <c r="L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9"/>
      <c r="G18" s="10"/>
      <c r="H18" s="9" t="str">
        <f aca="false">IF(F18="","",F18*G18)</f>
        <v/>
      </c>
      <c r="I18" s="7"/>
      <c r="J18" s="7"/>
      <c r="K18" s="7"/>
      <c r="L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11"/>
      <c r="G19" s="12"/>
      <c r="H19" s="11" t="str">
        <f aca="false">IF(F19="","",F19*G19)</f>
        <v/>
      </c>
      <c r="I19" s="8"/>
      <c r="J19" s="8"/>
      <c r="K19" s="8"/>
      <c r="L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9"/>
      <c r="G20" s="10"/>
      <c r="H20" s="9" t="str">
        <f aca="false">IF(F20="","",F20*G20)</f>
        <v/>
      </c>
      <c r="I20" s="7"/>
      <c r="J20" s="7"/>
      <c r="K20" s="7"/>
      <c r="L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11"/>
      <c r="G21" s="12"/>
      <c r="H21" s="11" t="str">
        <f aca="false">IF(F21="","",F21*G21)</f>
        <v/>
      </c>
      <c r="I21" s="8"/>
      <c r="J21" s="8"/>
      <c r="K21" s="8"/>
      <c r="L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9"/>
      <c r="G22" s="10"/>
      <c r="H22" s="9" t="str">
        <f aca="false">IF(F22="","",F22*G22)</f>
        <v/>
      </c>
      <c r="I22" s="7"/>
      <c r="J22" s="7"/>
      <c r="K22" s="7"/>
      <c r="L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11"/>
      <c r="G23" s="12"/>
      <c r="H23" s="11" t="str">
        <f aca="false">IF(F23="","",F23*G23)</f>
        <v/>
      </c>
      <c r="I23" s="8"/>
      <c r="J23" s="8"/>
      <c r="K23" s="8"/>
      <c r="L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9"/>
      <c r="G24" s="10"/>
      <c r="H24" s="9" t="str">
        <f aca="false">IF(F24="","",F24*G24)</f>
        <v/>
      </c>
      <c r="I24" s="7"/>
      <c r="J24" s="7"/>
      <c r="K24" s="7"/>
      <c r="L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11"/>
      <c r="G25" s="12"/>
      <c r="H25" s="11" t="str">
        <f aca="false">IF(F25="","",F25*G25)</f>
        <v/>
      </c>
      <c r="I25" s="8"/>
      <c r="J25" s="8"/>
      <c r="K25" s="8"/>
      <c r="L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9"/>
      <c r="G26" s="10"/>
      <c r="H26" s="9" t="str">
        <f aca="false">IF(F26="","",F26*G26)</f>
        <v/>
      </c>
      <c r="I26" s="7"/>
      <c r="J26" s="7"/>
      <c r="K26" s="7"/>
      <c r="L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11"/>
      <c r="G27" s="12"/>
      <c r="H27" s="11" t="str">
        <f aca="false">IF(F27="","",F27*G27)</f>
        <v/>
      </c>
      <c r="I27" s="8"/>
      <c r="J27" s="8"/>
      <c r="K27" s="8"/>
      <c r="L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9"/>
      <c r="G28" s="10"/>
      <c r="H28" s="9" t="str">
        <f aca="false">IF(F28="","",F28*G28)</f>
        <v/>
      </c>
      <c r="I28" s="7"/>
      <c r="J28" s="7"/>
      <c r="K28" s="7"/>
      <c r="L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11"/>
      <c r="G29" s="12"/>
      <c r="H29" s="11" t="str">
        <f aca="false">IF(F29="","",F29*G29)</f>
        <v/>
      </c>
      <c r="I29" s="8"/>
      <c r="J29" s="8"/>
      <c r="K29" s="8"/>
      <c r="L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9"/>
      <c r="G30" s="10"/>
      <c r="H30" s="9" t="str">
        <f aca="false">IF(F30="","",F30*G30)</f>
        <v/>
      </c>
      <c r="I30" s="7"/>
      <c r="J30" s="7"/>
      <c r="K30" s="7"/>
      <c r="L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11"/>
      <c r="G31" s="12"/>
      <c r="H31" s="11" t="str">
        <f aca="false">IF(F31="","",F31*G31)</f>
        <v/>
      </c>
      <c r="I31" s="8"/>
      <c r="J31" s="8"/>
      <c r="K31" s="8"/>
      <c r="L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9"/>
      <c r="G32" s="10"/>
      <c r="H32" s="9" t="str">
        <f aca="false">IF(F32="","",F32*G32)</f>
        <v/>
      </c>
      <c r="I32" s="7"/>
      <c r="J32" s="7"/>
      <c r="K32" s="7"/>
      <c r="L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11"/>
      <c r="G33" s="12"/>
      <c r="H33" s="11" t="str">
        <f aca="false">IF(F33="","",F33*G33)</f>
        <v/>
      </c>
      <c r="I33" s="8"/>
      <c r="J33" s="8"/>
      <c r="K33" s="8"/>
      <c r="L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9"/>
      <c r="G34" s="10"/>
      <c r="H34" s="9" t="str">
        <f aca="false">IF(F34="","",F34*G34)</f>
        <v/>
      </c>
      <c r="I34" s="7"/>
      <c r="J34" s="7"/>
      <c r="K34" s="7"/>
      <c r="L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11"/>
      <c r="G35" s="12"/>
      <c r="H35" s="11" t="str">
        <f aca="false">IF(F35="","",F35*G35)</f>
        <v/>
      </c>
      <c r="I35" s="8"/>
      <c r="J35" s="8"/>
      <c r="K35" s="8"/>
      <c r="L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9"/>
      <c r="G36" s="10"/>
      <c r="H36" s="9" t="str">
        <f aca="false">IF(F36="","",F36*G36)</f>
        <v/>
      </c>
      <c r="I36" s="7"/>
      <c r="J36" s="7"/>
      <c r="K36" s="7"/>
      <c r="L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11"/>
      <c r="G37" s="12"/>
      <c r="H37" s="11" t="str">
        <f aca="false">IF(F37="","",F37*G37)</f>
        <v/>
      </c>
      <c r="I37" s="8"/>
      <c r="J37" s="8"/>
      <c r="K37" s="8"/>
      <c r="L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9"/>
      <c r="G38" s="10"/>
      <c r="H38" s="9" t="str">
        <f aca="false">IF(F38="","",F38*G38)</f>
        <v/>
      </c>
      <c r="I38" s="7"/>
      <c r="J38" s="7"/>
      <c r="K38" s="7"/>
      <c r="L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11"/>
      <c r="G39" s="12"/>
      <c r="H39" s="11" t="str">
        <f aca="false">IF(F39="","",F39*G39)</f>
        <v/>
      </c>
      <c r="I39" s="8"/>
      <c r="J39" s="8"/>
      <c r="K39" s="8"/>
      <c r="L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9"/>
      <c r="G40" s="10"/>
      <c r="H40" s="9" t="str">
        <f aca="false">IF(F40="","",F40*G40)</f>
        <v/>
      </c>
      <c r="I40" s="7"/>
      <c r="J40" s="7"/>
      <c r="K40" s="7"/>
      <c r="L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11"/>
      <c r="G41" s="12"/>
      <c r="H41" s="11" t="str">
        <f aca="false">IF(F41="","",F41*G41)</f>
        <v/>
      </c>
      <c r="I41" s="8"/>
      <c r="J41" s="8"/>
      <c r="K41" s="8"/>
      <c r="L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9"/>
      <c r="G42" s="10"/>
      <c r="H42" s="9" t="str">
        <f aca="false">IF(F42="","",F42*G42)</f>
        <v/>
      </c>
      <c r="I42" s="7"/>
      <c r="J42" s="7"/>
      <c r="K42" s="7"/>
      <c r="L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11"/>
      <c r="G43" s="12"/>
      <c r="H43" s="11" t="str">
        <f aca="false">IF(F43="","",F43*G43)</f>
        <v/>
      </c>
      <c r="I43" s="8"/>
      <c r="J43" s="8"/>
      <c r="K43" s="8"/>
      <c r="L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9"/>
      <c r="G44" s="10"/>
      <c r="H44" s="9" t="str">
        <f aca="false">IF(F44="","",F44*G44)</f>
        <v/>
      </c>
      <c r="I44" s="7"/>
      <c r="J44" s="7"/>
      <c r="K44" s="7"/>
      <c r="L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11"/>
      <c r="G45" s="12"/>
      <c r="H45" s="11" t="str">
        <f aca="false">IF(F45="","",F45*G45)</f>
        <v/>
      </c>
      <c r="I45" s="8"/>
      <c r="J45" s="8"/>
      <c r="K45" s="8"/>
      <c r="L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9"/>
      <c r="G46" s="10"/>
      <c r="H46" s="9" t="str">
        <f aca="false">IF(F46="","",F46*G46)</f>
        <v/>
      </c>
      <c r="I46" s="7"/>
      <c r="J46" s="7"/>
      <c r="K46" s="7"/>
      <c r="L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11"/>
      <c r="G47" s="12"/>
      <c r="H47" s="11" t="str">
        <f aca="false">IF(F47="","",F47*G47)</f>
        <v/>
      </c>
      <c r="I47" s="8"/>
      <c r="J47" s="8"/>
      <c r="K47" s="8"/>
      <c r="L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9"/>
      <c r="G48" s="10"/>
      <c r="H48" s="9" t="str">
        <f aca="false">IF(F48="","",F48*G48)</f>
        <v/>
      </c>
      <c r="I48" s="7"/>
      <c r="J48" s="7"/>
      <c r="K48" s="7"/>
      <c r="L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11"/>
      <c r="G49" s="12"/>
      <c r="H49" s="11" t="str">
        <f aca="false">IF(F49="","",F49*G49)</f>
        <v/>
      </c>
      <c r="I49" s="8"/>
      <c r="J49" s="8"/>
      <c r="K49" s="8"/>
      <c r="L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9"/>
      <c r="G50" s="10"/>
      <c r="H50" s="9" t="str">
        <f aca="false">IF(F50="","",F50*G50)</f>
        <v/>
      </c>
      <c r="I50" s="7"/>
      <c r="J50" s="7"/>
      <c r="K50" s="7"/>
      <c r="L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11"/>
      <c r="G51" s="12"/>
      <c r="H51" s="11" t="str">
        <f aca="false">IF(F51="","",F51*G51)</f>
        <v/>
      </c>
      <c r="I51" s="8"/>
      <c r="J51" s="8"/>
      <c r="K51" s="8"/>
      <c r="L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9"/>
      <c r="G52" s="10"/>
      <c r="H52" s="9" t="str">
        <f aca="false">IF(F52="","",F52*G52)</f>
        <v/>
      </c>
      <c r="I52" s="7"/>
      <c r="J52" s="7"/>
      <c r="K52" s="7"/>
      <c r="L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11"/>
      <c r="G53" s="12"/>
      <c r="H53" s="11" t="str">
        <f aca="false">IF(F53="","",F53*G53)</f>
        <v/>
      </c>
      <c r="I53" s="8"/>
      <c r="J53" s="8"/>
      <c r="K53" s="8"/>
      <c r="L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9"/>
      <c r="G54" s="10"/>
      <c r="H54" s="9" t="str">
        <f aca="false">IF(F54="","",F54*G54)</f>
        <v/>
      </c>
      <c r="I54" s="7"/>
      <c r="J54" s="7"/>
      <c r="K54" s="7"/>
      <c r="L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11"/>
      <c r="G55" s="12"/>
      <c r="H55" s="11" t="str">
        <f aca="false">IF(F55="","",F55*G55)</f>
        <v/>
      </c>
      <c r="I55" s="8"/>
      <c r="J55" s="8"/>
      <c r="K55" s="8"/>
      <c r="L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9"/>
      <c r="G56" s="10"/>
      <c r="H56" s="9" t="str">
        <f aca="false">IF(F56="","",F56*G56)</f>
        <v/>
      </c>
      <c r="I56" s="7"/>
      <c r="J56" s="7"/>
      <c r="K56" s="7"/>
      <c r="L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11"/>
      <c r="G57" s="12"/>
      <c r="H57" s="11" t="str">
        <f aca="false">IF(F57="","",F57*G57)</f>
        <v/>
      </c>
      <c r="I57" s="8"/>
      <c r="J57" s="8"/>
      <c r="K57" s="8"/>
      <c r="L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9"/>
      <c r="G58" s="10"/>
      <c r="H58" s="9" t="str">
        <f aca="false">IF(F58="","",F58*G58)</f>
        <v/>
      </c>
      <c r="I58" s="7"/>
      <c r="J58" s="7"/>
      <c r="K58" s="7"/>
      <c r="L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11"/>
      <c r="G59" s="12"/>
      <c r="H59" s="11" t="str">
        <f aca="false">IF(F59="","",F59*G59)</f>
        <v/>
      </c>
      <c r="I59" s="8"/>
      <c r="J59" s="8"/>
      <c r="K59" s="8"/>
      <c r="L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9"/>
      <c r="G60" s="10"/>
      <c r="H60" s="9" t="str">
        <f aca="false">IF(F60="","",F60*G60)</f>
        <v/>
      </c>
      <c r="I60" s="7"/>
      <c r="J60" s="7"/>
      <c r="K60" s="7"/>
      <c r="L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11"/>
      <c r="G61" s="12"/>
      <c r="H61" s="11" t="str">
        <f aca="false">IF(F61="","",F61*G61)</f>
        <v/>
      </c>
      <c r="I61" s="8"/>
      <c r="J61" s="8"/>
      <c r="K61" s="8"/>
      <c r="L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9"/>
      <c r="G62" s="10"/>
      <c r="H62" s="9" t="str">
        <f aca="false">IF(F62="","",F62*G62)</f>
        <v/>
      </c>
      <c r="I62" s="7"/>
      <c r="J62" s="7"/>
      <c r="K62" s="7"/>
      <c r="L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11"/>
      <c r="G63" s="12"/>
      <c r="H63" s="11" t="str">
        <f aca="false">IF(F63="","",F63*G63)</f>
        <v/>
      </c>
      <c r="I63" s="8"/>
      <c r="J63" s="8"/>
      <c r="K63" s="8"/>
      <c r="L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9"/>
      <c r="G64" s="10"/>
      <c r="H64" s="9" t="str">
        <f aca="false">IF(F64="","",F64*G64)</f>
        <v/>
      </c>
      <c r="I64" s="7"/>
      <c r="J64" s="7"/>
      <c r="K64" s="7"/>
      <c r="L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11"/>
      <c r="G65" s="12"/>
      <c r="H65" s="11" t="str">
        <f aca="false">IF(F65="","",F65*G65)</f>
        <v/>
      </c>
      <c r="I65" s="8"/>
      <c r="J65" s="8"/>
      <c r="K65" s="8"/>
      <c r="L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9"/>
      <c r="G66" s="10"/>
      <c r="H66" s="9" t="str">
        <f aca="false">IF(F66="","",F66*G66)</f>
        <v/>
      </c>
      <c r="I66" s="7"/>
      <c r="J66" s="7"/>
      <c r="K66" s="7"/>
      <c r="L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11"/>
      <c r="G67" s="12"/>
      <c r="H67" s="11" t="str">
        <f aca="false">IF(F67="","",F67*G67)</f>
        <v/>
      </c>
      <c r="I67" s="8"/>
      <c r="J67" s="8"/>
      <c r="K67" s="8"/>
      <c r="L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9"/>
      <c r="G68" s="10"/>
      <c r="H68" s="9" t="str">
        <f aca="false">IF(F68="","",F68*G68)</f>
        <v/>
      </c>
      <c r="I68" s="7"/>
      <c r="J68" s="7"/>
      <c r="K68" s="7"/>
      <c r="L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11"/>
      <c r="G69" s="12"/>
      <c r="H69" s="11" t="str">
        <f aca="false">IF(F69="","",F69*G69)</f>
        <v/>
      </c>
      <c r="I69" s="8"/>
      <c r="J69" s="8"/>
      <c r="K69" s="8"/>
      <c r="L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9"/>
      <c r="G70" s="10"/>
      <c r="H70" s="9" t="str">
        <f aca="false">IF(F70="","",F70*G70)</f>
        <v/>
      </c>
      <c r="I70" s="7"/>
      <c r="J70" s="7"/>
      <c r="K70" s="7"/>
      <c r="L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11"/>
      <c r="G71" s="12"/>
      <c r="H71" s="11" t="str">
        <f aca="false">IF(F71="","",F71*G71)</f>
        <v/>
      </c>
      <c r="I71" s="8"/>
      <c r="J71" s="8"/>
      <c r="K71" s="8"/>
      <c r="L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9"/>
      <c r="G72" s="10"/>
      <c r="H72" s="9" t="str">
        <f aca="false">IF(F72="","",F72*G72)</f>
        <v/>
      </c>
      <c r="I72" s="7"/>
      <c r="J72" s="7"/>
      <c r="K72" s="7"/>
      <c r="L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11"/>
      <c r="G73" s="12"/>
      <c r="H73" s="11" t="str">
        <f aca="false">IF(F73="","",F73*G73)</f>
        <v/>
      </c>
      <c r="I73" s="8"/>
      <c r="J73" s="8"/>
      <c r="K73" s="8"/>
      <c r="L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9"/>
      <c r="G74" s="10"/>
      <c r="H74" s="9" t="str">
        <f aca="false">IF(F74="","",F74*G74)</f>
        <v/>
      </c>
      <c r="I74" s="7"/>
      <c r="J74" s="7"/>
      <c r="K74" s="7"/>
      <c r="L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11"/>
      <c r="G75" s="12"/>
      <c r="H75" s="11" t="str">
        <f aca="false">IF(F75="","",F75*G75)</f>
        <v/>
      </c>
      <c r="I75" s="8"/>
      <c r="J75" s="8"/>
      <c r="K75" s="8"/>
      <c r="L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9"/>
      <c r="G76" s="10"/>
      <c r="H76" s="9" t="str">
        <f aca="false">IF(F76="","",F76*G76)</f>
        <v/>
      </c>
      <c r="I76" s="7"/>
      <c r="J76" s="7"/>
      <c r="K76" s="7"/>
      <c r="L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11"/>
      <c r="G77" s="12"/>
      <c r="H77" s="11" t="str">
        <f aca="false">IF(F77="","",F77*G77)</f>
        <v/>
      </c>
      <c r="I77" s="8"/>
      <c r="J77" s="8"/>
      <c r="K77" s="8"/>
      <c r="L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9"/>
      <c r="G78" s="10"/>
      <c r="H78" s="9" t="str">
        <f aca="false">IF(F78="","",F78*G78)</f>
        <v/>
      </c>
      <c r="I78" s="7"/>
      <c r="J78" s="7"/>
      <c r="K78" s="7"/>
      <c r="L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11"/>
      <c r="G79" s="12"/>
      <c r="H79" s="11" t="str">
        <f aca="false">IF(F79="","",F79*G79)</f>
        <v/>
      </c>
      <c r="I79" s="8"/>
      <c r="J79" s="8"/>
      <c r="K79" s="8"/>
      <c r="L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9"/>
      <c r="G80" s="10"/>
      <c r="H80" s="9" t="str">
        <f aca="false">IF(F80="","",F80*G80)</f>
        <v/>
      </c>
      <c r="I80" s="7"/>
      <c r="J80" s="7"/>
      <c r="K80" s="7"/>
      <c r="L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11"/>
      <c r="G81" s="12"/>
      <c r="H81" s="11" t="str">
        <f aca="false">IF(F81="","",F81*G81)</f>
        <v/>
      </c>
      <c r="I81" s="8"/>
      <c r="J81" s="8"/>
      <c r="K81" s="8"/>
      <c r="L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9"/>
      <c r="G82" s="10"/>
      <c r="H82" s="9" t="str">
        <f aca="false">IF(F82="","",F82*G82)</f>
        <v/>
      </c>
      <c r="I82" s="7"/>
      <c r="J82" s="7"/>
      <c r="K82" s="7"/>
      <c r="L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11"/>
      <c r="G83" s="12"/>
      <c r="H83" s="11" t="str">
        <f aca="false">IF(F83="","",F83*G83)</f>
        <v/>
      </c>
      <c r="I83" s="8"/>
      <c r="J83" s="8"/>
      <c r="K83" s="8"/>
      <c r="L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9"/>
      <c r="G84" s="10"/>
      <c r="H84" s="9" t="str">
        <f aca="false">IF(F84="","",F84*G84)</f>
        <v/>
      </c>
      <c r="I84" s="7"/>
      <c r="J84" s="7"/>
      <c r="K84" s="7"/>
      <c r="L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11"/>
      <c r="G85" s="12"/>
      <c r="H85" s="11" t="str">
        <f aca="false">IF(F85="","",F85*G85)</f>
        <v/>
      </c>
      <c r="I85" s="8"/>
      <c r="J85" s="8"/>
      <c r="K85" s="8"/>
      <c r="L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9"/>
      <c r="G86" s="10"/>
      <c r="H86" s="9" t="str">
        <f aca="false">IF(F86="","",F86*G86)</f>
        <v/>
      </c>
      <c r="I86" s="7"/>
      <c r="J86" s="7"/>
      <c r="K86" s="7"/>
      <c r="L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11"/>
      <c r="G87" s="12"/>
      <c r="H87" s="11" t="str">
        <f aca="false">IF(F87="","",F87*G87)</f>
        <v/>
      </c>
      <c r="I87" s="8"/>
      <c r="J87" s="8"/>
      <c r="K87" s="8"/>
      <c r="L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9"/>
      <c r="G88" s="10"/>
      <c r="H88" s="9" t="str">
        <f aca="false">IF(F88="","",F88*G88)</f>
        <v/>
      </c>
      <c r="I88" s="7"/>
      <c r="J88" s="7"/>
      <c r="K88" s="7"/>
      <c r="L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11"/>
      <c r="G89" s="12"/>
      <c r="H89" s="11" t="str">
        <f aca="false">IF(F89="","",F89*G89)</f>
        <v/>
      </c>
      <c r="I89" s="8"/>
      <c r="J89" s="8"/>
      <c r="K89" s="8"/>
      <c r="L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9"/>
      <c r="G90" s="10"/>
      <c r="H90" s="9" t="str">
        <f aca="false">IF(F90="","",F90*G90)</f>
        <v/>
      </c>
      <c r="I90" s="7"/>
      <c r="J90" s="7"/>
      <c r="K90" s="7"/>
      <c r="L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11"/>
      <c r="G91" s="12"/>
      <c r="H91" s="11" t="str">
        <f aca="false">IF(F91="","",F91*G91)</f>
        <v/>
      </c>
      <c r="I91" s="8"/>
      <c r="J91" s="8"/>
      <c r="K91" s="8"/>
      <c r="L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9"/>
      <c r="G92" s="10"/>
      <c r="H92" s="9" t="str">
        <f aca="false">IF(F92="","",F92*G92)</f>
        <v/>
      </c>
      <c r="I92" s="7"/>
      <c r="J92" s="7"/>
      <c r="K92" s="7"/>
      <c r="L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11"/>
      <c r="G93" s="12"/>
      <c r="H93" s="11" t="str">
        <f aca="false">IF(F93="","",F93*G93)</f>
        <v/>
      </c>
      <c r="I93" s="8"/>
      <c r="J93" s="8"/>
      <c r="K93" s="8"/>
      <c r="L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9"/>
      <c r="G94" s="10"/>
      <c r="H94" s="9" t="str">
        <f aca="false">IF(F94="","",F94*G94)</f>
        <v/>
      </c>
      <c r="I94" s="7"/>
      <c r="J94" s="7"/>
      <c r="K94" s="7"/>
      <c r="L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11"/>
      <c r="G95" s="12"/>
      <c r="H95" s="11" t="str">
        <f aca="false">IF(F95="","",F95*G95)</f>
        <v/>
      </c>
      <c r="I95" s="8"/>
      <c r="J95" s="8"/>
      <c r="K95" s="8"/>
      <c r="L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9"/>
      <c r="G96" s="10"/>
      <c r="H96" s="9" t="str">
        <f aca="false">IF(F96="","",F96*G96)</f>
        <v/>
      </c>
      <c r="I96" s="7"/>
      <c r="J96" s="7"/>
      <c r="K96" s="7"/>
      <c r="L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11"/>
      <c r="G97" s="12"/>
      <c r="H97" s="11" t="str">
        <f aca="false">IF(F97="","",F97*G97)</f>
        <v/>
      </c>
      <c r="I97" s="8"/>
      <c r="J97" s="8"/>
      <c r="K97" s="8"/>
      <c r="L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9"/>
      <c r="G98" s="10"/>
      <c r="H98" s="9" t="str">
        <f aca="false">IF(F98="","",F98*G98)</f>
        <v/>
      </c>
      <c r="I98" s="7"/>
      <c r="J98" s="7"/>
      <c r="K98" s="7"/>
      <c r="L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11"/>
      <c r="G99" s="12"/>
      <c r="H99" s="11" t="str">
        <f aca="false">IF(F99="","",F99*G99)</f>
        <v/>
      </c>
      <c r="I99" s="8"/>
      <c r="J99" s="8"/>
      <c r="K99" s="8"/>
      <c r="L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9"/>
      <c r="G100" s="10"/>
      <c r="H100" s="9" t="str">
        <f aca="false">IF(F100="","",F100*G100)</f>
        <v/>
      </c>
      <c r="I100" s="7"/>
      <c r="J100" s="7"/>
      <c r="K100" s="7"/>
      <c r="L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11"/>
      <c r="G101" s="12"/>
      <c r="H101" s="11" t="str">
        <f aca="false">IF(F101="","",F101*G101)</f>
        <v/>
      </c>
      <c r="I101" s="8"/>
      <c r="J101" s="8"/>
      <c r="K101" s="8"/>
      <c r="L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9"/>
      <c r="G102" s="10"/>
      <c r="H102" s="9" t="str">
        <f aca="false">IF(F102="","",F102*G102)</f>
        <v/>
      </c>
      <c r="I102" s="7"/>
      <c r="J102" s="7"/>
      <c r="K102" s="7"/>
      <c r="L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11"/>
      <c r="G103" s="12"/>
      <c r="H103" s="11" t="str">
        <f aca="false">IF(F103="","",F103*G103)</f>
        <v/>
      </c>
      <c r="I103" s="8"/>
      <c r="J103" s="8"/>
      <c r="K103" s="8"/>
      <c r="L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9"/>
      <c r="G104" s="10"/>
      <c r="H104" s="9" t="str">
        <f aca="false">IF(F104="","",F104*G104)</f>
        <v/>
      </c>
      <c r="I104" s="7"/>
      <c r="J104" s="7"/>
      <c r="K104" s="7"/>
      <c r="L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11"/>
      <c r="G105" s="12"/>
      <c r="H105" s="11" t="str">
        <f aca="false">IF(F105="","",F105*G105)</f>
        <v/>
      </c>
      <c r="I105" s="8"/>
      <c r="J105" s="8"/>
      <c r="K105" s="8"/>
      <c r="L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9"/>
      <c r="G106" s="10"/>
      <c r="H106" s="9" t="str">
        <f aca="false">IF(F106="","",F106*G106)</f>
        <v/>
      </c>
      <c r="I106" s="7"/>
      <c r="J106" s="7"/>
      <c r="K106" s="7"/>
      <c r="L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11"/>
      <c r="G107" s="12"/>
      <c r="H107" s="11" t="str">
        <f aca="false">IF(F107="","",F107*G107)</f>
        <v/>
      </c>
      <c r="I107" s="8"/>
      <c r="J107" s="8"/>
      <c r="K107" s="8"/>
      <c r="L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9"/>
      <c r="G108" s="10"/>
      <c r="H108" s="9" t="str">
        <f aca="false">IF(F108="","",F108*G108)</f>
        <v/>
      </c>
      <c r="I108" s="7"/>
      <c r="J108" s="7"/>
      <c r="K108" s="7"/>
      <c r="L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11"/>
      <c r="G109" s="12"/>
      <c r="H109" s="11" t="str">
        <f aca="false">IF(F109="","",F109*G109)</f>
        <v/>
      </c>
      <c r="I109" s="8"/>
      <c r="J109" s="8"/>
      <c r="K109" s="8"/>
      <c r="L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9"/>
      <c r="G110" s="10"/>
      <c r="H110" s="9" t="str">
        <f aca="false">IF(F110="","",F110*G110)</f>
        <v/>
      </c>
      <c r="I110" s="7"/>
      <c r="J110" s="7"/>
      <c r="K110" s="7"/>
      <c r="L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11"/>
      <c r="G111" s="12"/>
      <c r="H111" s="11" t="str">
        <f aca="false">IF(F111="","",F111*G111)</f>
        <v/>
      </c>
      <c r="I111" s="8"/>
      <c r="J111" s="8"/>
      <c r="K111" s="8"/>
      <c r="L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9"/>
      <c r="G112" s="10"/>
      <c r="H112" s="9" t="str">
        <f aca="false">IF(F112="","",F112*G112)</f>
        <v/>
      </c>
      <c r="I112" s="7"/>
      <c r="J112" s="7"/>
      <c r="K112" s="7"/>
      <c r="L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11"/>
      <c r="G113" s="12"/>
      <c r="H113" s="11" t="str">
        <f aca="false">IF(F113="","",F113*G113)</f>
        <v/>
      </c>
      <c r="I113" s="8"/>
      <c r="J113" s="8"/>
      <c r="K113" s="8"/>
      <c r="L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9"/>
      <c r="G114" s="10"/>
      <c r="H114" s="9" t="str">
        <f aca="false">IF(F114="","",F114*G114)</f>
        <v/>
      </c>
      <c r="I114" s="7"/>
      <c r="J114" s="7"/>
      <c r="K114" s="7"/>
      <c r="L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11"/>
      <c r="G115" s="12"/>
      <c r="H115" s="11" t="str">
        <f aca="false">IF(F115="","",F115*G115)</f>
        <v/>
      </c>
      <c r="I115" s="8"/>
      <c r="J115" s="8"/>
      <c r="K115" s="8"/>
      <c r="L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9"/>
      <c r="G116" s="10"/>
      <c r="H116" s="9" t="str">
        <f aca="false">IF(F116="","",F116*G116)</f>
        <v/>
      </c>
      <c r="I116" s="7"/>
      <c r="J116" s="7"/>
      <c r="K116" s="7"/>
      <c r="L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11"/>
      <c r="G117" s="12"/>
      <c r="H117" s="11" t="str">
        <f aca="false">IF(F117="","",F117*G117)</f>
        <v/>
      </c>
      <c r="I117" s="8"/>
      <c r="J117" s="8"/>
      <c r="K117" s="8"/>
      <c r="L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9"/>
      <c r="G118" s="10"/>
      <c r="H118" s="9" t="str">
        <f aca="false">IF(F118="","",F118*G118)</f>
        <v/>
      </c>
      <c r="I118" s="7"/>
      <c r="J118" s="7"/>
      <c r="K118" s="7"/>
      <c r="L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11"/>
      <c r="G119" s="12"/>
      <c r="H119" s="11" t="str">
        <f aca="false">IF(F119="","",F119*G119)</f>
        <v/>
      </c>
      <c r="I119" s="8"/>
      <c r="J119" s="8"/>
      <c r="K119" s="8"/>
      <c r="L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9"/>
      <c r="G120" s="10"/>
      <c r="H120" s="9" t="str">
        <f aca="false">IF(F120="","",F120*G120)</f>
        <v/>
      </c>
      <c r="I120" s="7"/>
      <c r="J120" s="7"/>
      <c r="K120" s="7"/>
      <c r="L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11"/>
      <c r="G121" s="12"/>
      <c r="H121" s="11" t="str">
        <f aca="false">IF(F121="","",F121*G121)</f>
        <v/>
      </c>
      <c r="I121" s="8"/>
      <c r="J121" s="8"/>
      <c r="K121" s="8"/>
      <c r="L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9"/>
      <c r="G122" s="10"/>
      <c r="H122" s="9" t="str">
        <f aca="false">IF(F122="","",F122*G122)</f>
        <v/>
      </c>
      <c r="I122" s="7"/>
      <c r="J122" s="7"/>
      <c r="K122" s="7"/>
      <c r="L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11"/>
      <c r="G123" s="12"/>
      <c r="H123" s="11" t="str">
        <f aca="false">IF(F123="","",F123*G123)</f>
        <v/>
      </c>
      <c r="I123" s="8"/>
      <c r="J123" s="8"/>
      <c r="K123" s="8"/>
      <c r="L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9"/>
      <c r="G124" s="10"/>
      <c r="H124" s="9" t="str">
        <f aca="false">IF(F124="","",F124*G124)</f>
        <v/>
      </c>
      <c r="I124" s="7"/>
      <c r="J124" s="7"/>
      <c r="K124" s="7"/>
      <c r="L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11"/>
      <c r="G125" s="12"/>
      <c r="H125" s="11" t="str">
        <f aca="false">IF(F125="","",F125*G125)</f>
        <v/>
      </c>
      <c r="I125" s="8"/>
      <c r="J125" s="8"/>
      <c r="K125" s="8"/>
      <c r="L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9"/>
      <c r="G126" s="10"/>
      <c r="H126" s="9" t="str">
        <f aca="false">IF(F126="","",F126*G126)</f>
        <v/>
      </c>
      <c r="I126" s="7"/>
      <c r="J126" s="7"/>
      <c r="K126" s="7"/>
      <c r="L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11"/>
      <c r="G127" s="12"/>
      <c r="H127" s="11" t="str">
        <f aca="false">IF(F127="","",F127*G127)</f>
        <v/>
      </c>
      <c r="I127" s="8"/>
      <c r="J127" s="8"/>
      <c r="K127" s="8"/>
      <c r="L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9"/>
      <c r="G128" s="10"/>
      <c r="H128" s="9" t="str">
        <f aca="false">IF(F128="","",F128*G128)</f>
        <v/>
      </c>
      <c r="I128" s="7"/>
      <c r="J128" s="7"/>
      <c r="K128" s="7"/>
      <c r="L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11"/>
      <c r="G129" s="12"/>
      <c r="H129" s="11" t="str">
        <f aca="false">IF(F129="","",F129*G129)</f>
        <v/>
      </c>
      <c r="I129" s="8"/>
      <c r="J129" s="8"/>
      <c r="K129" s="8"/>
      <c r="L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9"/>
      <c r="G130" s="10"/>
      <c r="H130" s="9" t="str">
        <f aca="false">IF(F130="","",F130*G130)</f>
        <v/>
      </c>
      <c r="I130" s="7"/>
      <c r="J130" s="7"/>
      <c r="K130" s="7"/>
      <c r="L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11"/>
      <c r="G131" s="12"/>
      <c r="H131" s="11" t="str">
        <f aca="false">IF(F131="","",F131*G131)</f>
        <v/>
      </c>
      <c r="I131" s="8"/>
      <c r="J131" s="8"/>
      <c r="K131" s="8"/>
      <c r="L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9"/>
      <c r="G132" s="10"/>
      <c r="H132" s="9" t="str">
        <f aca="false">IF(F132="","",F132*G132)</f>
        <v/>
      </c>
      <c r="I132" s="7"/>
      <c r="J132" s="7"/>
      <c r="K132" s="7"/>
      <c r="L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11"/>
      <c r="G133" s="12"/>
      <c r="H133" s="11" t="str">
        <f aca="false">IF(F133="","",F133*G133)</f>
        <v/>
      </c>
      <c r="I133" s="8"/>
      <c r="J133" s="8"/>
      <c r="K133" s="8"/>
      <c r="L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9"/>
      <c r="G134" s="10"/>
      <c r="H134" s="9" t="str">
        <f aca="false">IF(F134="","",F134*G134)</f>
        <v/>
      </c>
      <c r="I134" s="7"/>
      <c r="J134" s="7"/>
      <c r="K134" s="7"/>
      <c r="L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11"/>
      <c r="G135" s="12"/>
      <c r="H135" s="11" t="str">
        <f aca="false">IF(F135="","",F135*G135)</f>
        <v/>
      </c>
      <c r="I135" s="8"/>
      <c r="J135" s="8"/>
      <c r="K135" s="8"/>
      <c r="L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9"/>
      <c r="G136" s="10"/>
      <c r="H136" s="9" t="str">
        <f aca="false">IF(F136="","",F136*G136)</f>
        <v/>
      </c>
      <c r="I136" s="7"/>
      <c r="J136" s="7"/>
      <c r="K136" s="7"/>
      <c r="L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11"/>
      <c r="G137" s="12"/>
      <c r="H137" s="11" t="str">
        <f aca="false">IF(F137="","",F137*G137)</f>
        <v/>
      </c>
      <c r="I137" s="8"/>
      <c r="J137" s="8"/>
      <c r="K137" s="8"/>
      <c r="L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9"/>
      <c r="G138" s="10"/>
      <c r="H138" s="9" t="str">
        <f aca="false">IF(F138="","",F138*G138)</f>
        <v/>
      </c>
      <c r="I138" s="7"/>
      <c r="J138" s="7"/>
      <c r="K138" s="7"/>
      <c r="L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11"/>
      <c r="G139" s="12"/>
      <c r="H139" s="11" t="str">
        <f aca="false">IF(F139="","",F139*G139)</f>
        <v/>
      </c>
      <c r="I139" s="8"/>
      <c r="J139" s="8"/>
      <c r="K139" s="8"/>
      <c r="L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9"/>
      <c r="G140" s="10"/>
      <c r="H140" s="9" t="str">
        <f aca="false">IF(F140="","",F140*G140)</f>
        <v/>
      </c>
      <c r="I140" s="7"/>
      <c r="J140" s="7"/>
      <c r="K140" s="7"/>
      <c r="L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11"/>
      <c r="G141" s="12"/>
      <c r="H141" s="11" t="str">
        <f aca="false">IF(F141="","",F141*G141)</f>
        <v/>
      </c>
      <c r="I141" s="8"/>
      <c r="J141" s="8"/>
      <c r="K141" s="8"/>
      <c r="L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9"/>
      <c r="G142" s="10"/>
      <c r="H142" s="9" t="str">
        <f aca="false">IF(F142="","",F142*G142)</f>
        <v/>
      </c>
      <c r="I142" s="7"/>
      <c r="J142" s="7"/>
      <c r="K142" s="7"/>
      <c r="L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11"/>
      <c r="G143" s="12"/>
      <c r="H143" s="11" t="str">
        <f aca="false">IF(F143="","",F143*G143)</f>
        <v/>
      </c>
      <c r="I143" s="8"/>
      <c r="J143" s="8"/>
      <c r="K143" s="8"/>
      <c r="L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9"/>
      <c r="G144" s="10"/>
      <c r="H144" s="9" t="str">
        <f aca="false">IF(F144="","",F144*G144)</f>
        <v/>
      </c>
      <c r="I144" s="7"/>
      <c r="J144" s="7"/>
      <c r="K144" s="7"/>
      <c r="L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11"/>
      <c r="G145" s="12"/>
      <c r="H145" s="11" t="str">
        <f aca="false">IF(F145="","",F145*G145)</f>
        <v/>
      </c>
      <c r="I145" s="8"/>
      <c r="J145" s="8"/>
      <c r="K145" s="8"/>
      <c r="L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9"/>
      <c r="G146" s="10"/>
      <c r="H146" s="9" t="str">
        <f aca="false">IF(F146="","",F146*G146)</f>
        <v/>
      </c>
      <c r="I146" s="7"/>
      <c r="J146" s="7"/>
      <c r="K146" s="7"/>
      <c r="L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11"/>
      <c r="G147" s="12"/>
      <c r="H147" s="11" t="str">
        <f aca="false">IF(F147="","",F147*G147)</f>
        <v/>
      </c>
      <c r="I147" s="8"/>
      <c r="J147" s="8"/>
      <c r="K147" s="8"/>
      <c r="L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9"/>
      <c r="G148" s="10"/>
      <c r="H148" s="9" t="str">
        <f aca="false">IF(F148="","",F148*G148)</f>
        <v/>
      </c>
      <c r="I148" s="7"/>
      <c r="J148" s="7"/>
      <c r="K148" s="7"/>
      <c r="L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11"/>
      <c r="G149" s="12"/>
      <c r="H149" s="11" t="str">
        <f aca="false">IF(F149="","",F149*G149)</f>
        <v/>
      </c>
      <c r="I149" s="8"/>
      <c r="J149" s="8"/>
      <c r="K149" s="8"/>
      <c r="L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9"/>
      <c r="G150" s="10"/>
      <c r="H150" s="9" t="str">
        <f aca="false">IF(F150="","",F150*G150)</f>
        <v/>
      </c>
      <c r="I150" s="7"/>
      <c r="J150" s="7"/>
      <c r="K150" s="7"/>
      <c r="L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11"/>
      <c r="G151" s="12"/>
      <c r="H151" s="11" t="str">
        <f aca="false">IF(F151="","",F151*G151)</f>
        <v/>
      </c>
      <c r="I151" s="8"/>
      <c r="J151" s="8"/>
      <c r="K151" s="8"/>
      <c r="L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9"/>
      <c r="G152" s="10"/>
      <c r="H152" s="9" t="str">
        <f aca="false">IF(F152="","",F152*G152)</f>
        <v/>
      </c>
      <c r="I152" s="7"/>
      <c r="J152" s="7"/>
      <c r="K152" s="7"/>
      <c r="L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11"/>
      <c r="G153" s="12"/>
      <c r="H153" s="11" t="str">
        <f aca="false">IF(F153="","",F153*G153)</f>
        <v/>
      </c>
      <c r="I153" s="8"/>
      <c r="J153" s="8"/>
      <c r="K153" s="8"/>
      <c r="L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9"/>
      <c r="G154" s="10"/>
      <c r="H154" s="9" t="str">
        <f aca="false">IF(F154="","",F154*G154)</f>
        <v/>
      </c>
      <c r="I154" s="7"/>
      <c r="J154" s="7"/>
      <c r="K154" s="7"/>
      <c r="L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11"/>
      <c r="G155" s="12"/>
      <c r="H155" s="11" t="str">
        <f aca="false">IF(F155="","",F155*G155)</f>
        <v/>
      </c>
      <c r="I155" s="8"/>
      <c r="J155" s="8"/>
      <c r="K155" s="8"/>
      <c r="L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9"/>
      <c r="G156" s="10"/>
      <c r="H156" s="9" t="str">
        <f aca="false">IF(F156="","",F156*G156)</f>
        <v/>
      </c>
      <c r="I156" s="7"/>
      <c r="J156" s="7"/>
      <c r="K156" s="7"/>
      <c r="L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11"/>
      <c r="G157" s="12"/>
      <c r="H157" s="11" t="str">
        <f aca="false">IF(F157="","",F157*G157)</f>
        <v/>
      </c>
      <c r="I157" s="8"/>
      <c r="J157" s="8"/>
      <c r="K157" s="8"/>
      <c r="L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9"/>
      <c r="G158" s="10"/>
      <c r="H158" s="9" t="str">
        <f aca="false">IF(F158="","",F158*G158)</f>
        <v/>
      </c>
      <c r="I158" s="7"/>
      <c r="J158" s="7"/>
      <c r="K158" s="7"/>
      <c r="L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11"/>
      <c r="G159" s="12"/>
      <c r="H159" s="11" t="str">
        <f aca="false">IF(F159="","",F159*G159)</f>
        <v/>
      </c>
      <c r="I159" s="8"/>
      <c r="J159" s="8"/>
      <c r="K159" s="8"/>
      <c r="L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9"/>
      <c r="G160" s="10"/>
      <c r="H160" s="9" t="str">
        <f aca="false">IF(F160="","",F160*G160)</f>
        <v/>
      </c>
      <c r="I160" s="7"/>
      <c r="J160" s="7"/>
      <c r="K160" s="7"/>
      <c r="L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11"/>
      <c r="G161" s="12"/>
      <c r="H161" s="11" t="str">
        <f aca="false">IF(F161="","",F161*G161)</f>
        <v/>
      </c>
      <c r="I161" s="8"/>
      <c r="J161" s="8"/>
      <c r="K161" s="8"/>
      <c r="L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9"/>
      <c r="G162" s="10"/>
      <c r="H162" s="9" t="str">
        <f aca="false">IF(F162="","",F162*G162)</f>
        <v/>
      </c>
      <c r="I162" s="7"/>
      <c r="J162" s="7"/>
      <c r="K162" s="7"/>
      <c r="L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11"/>
      <c r="G163" s="12"/>
      <c r="H163" s="11" t="str">
        <f aca="false">IF(F163="","",F163*G163)</f>
        <v/>
      </c>
      <c r="I163" s="8"/>
      <c r="J163" s="8"/>
      <c r="K163" s="8"/>
      <c r="L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9"/>
      <c r="G164" s="10"/>
      <c r="H164" s="9" t="str">
        <f aca="false">IF(F164="","",F164*G164)</f>
        <v/>
      </c>
      <c r="I164" s="7"/>
      <c r="J164" s="7"/>
      <c r="K164" s="7"/>
      <c r="L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11"/>
      <c r="G165" s="12"/>
      <c r="H165" s="11" t="str">
        <f aca="false">IF(F165="","",F165*G165)</f>
        <v/>
      </c>
      <c r="I165" s="8"/>
      <c r="J165" s="8"/>
      <c r="K165" s="8"/>
      <c r="L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9"/>
      <c r="G166" s="10"/>
      <c r="H166" s="9" t="str">
        <f aca="false">IF(F166="","",F166*G166)</f>
        <v/>
      </c>
      <c r="I166" s="7"/>
      <c r="J166" s="7"/>
      <c r="K166" s="7"/>
      <c r="L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11"/>
      <c r="G167" s="12"/>
      <c r="H167" s="11" t="str">
        <f aca="false">IF(F167="","",F167*G167)</f>
        <v/>
      </c>
      <c r="I167" s="8"/>
      <c r="J167" s="8"/>
      <c r="K167" s="8"/>
      <c r="L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9"/>
      <c r="G168" s="10"/>
      <c r="H168" s="9" t="str">
        <f aca="false">IF(F168="","",F168*G168)</f>
        <v/>
      </c>
      <c r="I168" s="7"/>
      <c r="J168" s="7"/>
      <c r="K168" s="7"/>
      <c r="L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11"/>
      <c r="G169" s="12"/>
      <c r="H169" s="11" t="str">
        <f aca="false">IF(F169="","",F169*G169)</f>
        <v/>
      </c>
      <c r="I169" s="8"/>
      <c r="J169" s="8"/>
      <c r="K169" s="8"/>
      <c r="L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9"/>
      <c r="G170" s="10"/>
      <c r="H170" s="9" t="str">
        <f aca="false">IF(F170="","",F170*G170)</f>
        <v/>
      </c>
      <c r="I170" s="7"/>
      <c r="J170" s="7"/>
      <c r="K170" s="7"/>
      <c r="L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11"/>
      <c r="G171" s="12"/>
      <c r="H171" s="11" t="str">
        <f aca="false">IF(F171="","",F171*G171)</f>
        <v/>
      </c>
      <c r="I171" s="8"/>
      <c r="J171" s="8"/>
      <c r="K171" s="8"/>
      <c r="L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9"/>
      <c r="G172" s="10"/>
      <c r="H172" s="9" t="str">
        <f aca="false">IF(F172="","",F172*G172)</f>
        <v/>
      </c>
      <c r="I172" s="7"/>
      <c r="J172" s="7"/>
      <c r="K172" s="7"/>
      <c r="L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11"/>
      <c r="G173" s="12"/>
      <c r="H173" s="11" t="str">
        <f aca="false">IF(F173="","",F173*G173)</f>
        <v/>
      </c>
      <c r="I173" s="8"/>
      <c r="J173" s="8"/>
      <c r="K173" s="8"/>
      <c r="L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9"/>
      <c r="G174" s="10"/>
      <c r="H174" s="9" t="str">
        <f aca="false">IF(F174="","",F174*G174)</f>
        <v/>
      </c>
      <c r="I174" s="7"/>
      <c r="J174" s="7"/>
      <c r="K174" s="7"/>
      <c r="L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11"/>
      <c r="G175" s="12"/>
      <c r="H175" s="11" t="str">
        <f aca="false">IF(F175="","",F175*G175)</f>
        <v/>
      </c>
      <c r="I175" s="8"/>
      <c r="J175" s="8"/>
      <c r="K175" s="8"/>
      <c r="L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9"/>
      <c r="G176" s="10"/>
      <c r="H176" s="9" t="str">
        <f aca="false">IF(F176="","",F176*G176)</f>
        <v/>
      </c>
      <c r="I176" s="7"/>
      <c r="J176" s="7"/>
      <c r="K176" s="7"/>
      <c r="L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11"/>
      <c r="G177" s="12"/>
      <c r="H177" s="11" t="str">
        <f aca="false">IF(F177="","",F177*G177)</f>
        <v/>
      </c>
      <c r="I177" s="8"/>
      <c r="J177" s="8"/>
      <c r="K177" s="8"/>
      <c r="L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9"/>
      <c r="G178" s="10"/>
      <c r="H178" s="9" t="str">
        <f aca="false">IF(F178="","",F178*G178)</f>
        <v/>
      </c>
      <c r="I178" s="7"/>
      <c r="J178" s="7"/>
      <c r="K178" s="7"/>
      <c r="L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11"/>
      <c r="G179" s="12"/>
      <c r="H179" s="11" t="str">
        <f aca="false">IF(F179="","",F179*G179)</f>
        <v/>
      </c>
      <c r="I179" s="8"/>
      <c r="J179" s="8"/>
      <c r="K179" s="8"/>
      <c r="L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9"/>
      <c r="G180" s="10"/>
      <c r="H180" s="9" t="str">
        <f aca="false">IF(F180="","",F180*G180)</f>
        <v/>
      </c>
      <c r="I180" s="7"/>
      <c r="J180" s="7"/>
      <c r="K180" s="7"/>
      <c r="L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11"/>
      <c r="G181" s="12"/>
      <c r="H181" s="11" t="str">
        <f aca="false">IF(F181="","",F181*G181)</f>
        <v/>
      </c>
      <c r="I181" s="8"/>
      <c r="J181" s="8"/>
      <c r="K181" s="8"/>
      <c r="L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9"/>
      <c r="G182" s="10"/>
      <c r="H182" s="9" t="str">
        <f aca="false">IF(F182="","",F182*G182)</f>
        <v/>
      </c>
      <c r="I182" s="7"/>
      <c r="J182" s="7"/>
      <c r="K182" s="7"/>
      <c r="L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11"/>
      <c r="G183" s="12"/>
      <c r="H183" s="11" t="str">
        <f aca="false">IF(F183="","",F183*G183)</f>
        <v/>
      </c>
      <c r="I183" s="8"/>
      <c r="J183" s="8"/>
      <c r="K183" s="8"/>
      <c r="L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9"/>
      <c r="G184" s="10"/>
      <c r="H184" s="9" t="str">
        <f aca="false">IF(F184="","",F184*G184)</f>
        <v/>
      </c>
      <c r="I184" s="7"/>
      <c r="J184" s="7"/>
      <c r="K184" s="7"/>
      <c r="L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11"/>
      <c r="G185" s="12"/>
      <c r="H185" s="11" t="str">
        <f aca="false">IF(F185="","",F185*G185)</f>
        <v/>
      </c>
      <c r="I185" s="8"/>
      <c r="J185" s="8"/>
      <c r="K185" s="8"/>
      <c r="L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9"/>
      <c r="G186" s="10"/>
      <c r="H186" s="9" t="str">
        <f aca="false">IF(F186="","",F186*G186)</f>
        <v/>
      </c>
      <c r="I186" s="7"/>
      <c r="J186" s="7"/>
      <c r="K186" s="7"/>
      <c r="L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11"/>
      <c r="G187" s="12"/>
      <c r="H187" s="11" t="str">
        <f aca="false">IF(F187="","",F187*G187)</f>
        <v/>
      </c>
      <c r="I187" s="8"/>
      <c r="J187" s="8"/>
      <c r="K187" s="8"/>
      <c r="L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9"/>
      <c r="G188" s="10"/>
      <c r="H188" s="9" t="str">
        <f aca="false">IF(F188="","",F188*G188)</f>
        <v/>
      </c>
      <c r="I188" s="7"/>
      <c r="J188" s="7"/>
      <c r="K188" s="7"/>
      <c r="L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11"/>
      <c r="G189" s="12"/>
      <c r="H189" s="11" t="str">
        <f aca="false">IF(F189="","",F189*G189)</f>
        <v/>
      </c>
      <c r="I189" s="8"/>
      <c r="J189" s="8"/>
      <c r="K189" s="8"/>
      <c r="L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9"/>
      <c r="G190" s="10"/>
      <c r="H190" s="9" t="str">
        <f aca="false">IF(F190="","",F190*G190)</f>
        <v/>
      </c>
      <c r="I190" s="7"/>
      <c r="J190" s="7"/>
      <c r="K190" s="7"/>
      <c r="L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11"/>
      <c r="G191" s="12"/>
      <c r="H191" s="11" t="str">
        <f aca="false">IF(F191="","",F191*G191)</f>
        <v/>
      </c>
      <c r="I191" s="8"/>
      <c r="J191" s="8"/>
      <c r="K191" s="8"/>
      <c r="L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9"/>
      <c r="G192" s="10"/>
      <c r="H192" s="9" t="str">
        <f aca="false">IF(F192="","",F192*G192)</f>
        <v/>
      </c>
      <c r="I192" s="7"/>
      <c r="J192" s="7"/>
      <c r="K192" s="7"/>
      <c r="L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11"/>
      <c r="G193" s="12"/>
      <c r="H193" s="11" t="str">
        <f aca="false">IF(F193="","",F193*G193)</f>
        <v/>
      </c>
      <c r="I193" s="8"/>
      <c r="J193" s="8"/>
      <c r="K193" s="8"/>
      <c r="L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9"/>
      <c r="G194" s="10"/>
      <c r="H194" s="9" t="str">
        <f aca="false">IF(F194="","",F194*G194)</f>
        <v/>
      </c>
      <c r="I194" s="7"/>
      <c r="J194" s="7"/>
      <c r="K194" s="7"/>
      <c r="L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11"/>
      <c r="G195" s="12"/>
      <c r="H195" s="11" t="str">
        <f aca="false">IF(F195="","",F195*G195)</f>
        <v/>
      </c>
      <c r="I195" s="8"/>
      <c r="J195" s="8"/>
      <c r="K195" s="8"/>
      <c r="L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9"/>
      <c r="G196" s="10"/>
      <c r="H196" s="9" t="str">
        <f aca="false">IF(F196="","",F196*G196)</f>
        <v/>
      </c>
      <c r="I196" s="7"/>
      <c r="J196" s="7"/>
      <c r="K196" s="7"/>
      <c r="L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11"/>
      <c r="G197" s="12"/>
      <c r="H197" s="11" t="str">
        <f aca="false">IF(F197="","",F197*G197)</f>
        <v/>
      </c>
      <c r="I197" s="8"/>
      <c r="J197" s="8"/>
      <c r="K197" s="8"/>
      <c r="L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9"/>
      <c r="G198" s="10"/>
      <c r="H198" s="9" t="str">
        <f aca="false">IF(F198="","",F198*G198)</f>
        <v/>
      </c>
      <c r="I198" s="7"/>
      <c r="J198" s="7"/>
      <c r="K198" s="7"/>
      <c r="L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11"/>
      <c r="G199" s="12"/>
      <c r="H199" s="11" t="str">
        <f aca="false">IF(F199="","",F199*G199)</f>
        <v/>
      </c>
      <c r="I199" s="8"/>
      <c r="J199" s="8"/>
      <c r="K199" s="8"/>
      <c r="L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9"/>
      <c r="G200" s="10"/>
      <c r="H200" s="9" t="str">
        <f aca="false">IF(F200="","",F200*G200)</f>
        <v/>
      </c>
      <c r="I200" s="7"/>
      <c r="J200" s="7"/>
      <c r="K200" s="7"/>
      <c r="L200" s="7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11"/>
      <c r="G201" s="12"/>
      <c r="H201" s="11" t="str">
        <f aca="false">IF(F201="","",F201*G201)</f>
        <v/>
      </c>
      <c r="I201" s="8"/>
      <c r="J201" s="8"/>
      <c r="K201" s="8"/>
      <c r="L201" s="8"/>
    </row>
  </sheetData>
  <dataValidations count="3">
    <dataValidation allowBlank="true" errorStyle="stop" operator="between" showDropDown="false" showErrorMessage="false" showInputMessage="false" sqref="E2:E201" type="list">
      <formula1>"New Lead,Qualified,Proposal Sent,Negotiation,Won,Lost"</formula1>
      <formula2>0</formula2>
    </dataValidation>
    <dataValidation allowBlank="true" errorStyle="stop" operator="between" showDropDown="false" showErrorMessage="false" showInputMessage="false" sqref="K2:K201" type="list">
      <formula1>"Referral,Website,Cold Outreach,Social Media,Event/Trade Show,Advertisement,Other"</formula1>
      <formula2>0</formula2>
    </dataValidation>
    <dataValidation allowBlank="true" errorStyle="stop" operator="between" showDropDown="false" showErrorMessage="false" showInputMessage="false" sqref="L2:L201" type="list">
      <formula1>",Price too high,Chose competitor,No budget,Timing not right,No response,Other"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26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6" t="s">
        <v>33</v>
      </c>
      <c r="B1" s="6" t="s">
        <v>113</v>
      </c>
      <c r="C1" s="6" t="s">
        <v>114</v>
      </c>
      <c r="D1" s="6" t="s">
        <v>27</v>
      </c>
      <c r="E1" s="6" t="s">
        <v>31</v>
      </c>
      <c r="F1" s="6" t="s">
        <v>45</v>
      </c>
      <c r="G1" s="6" t="s">
        <v>115</v>
      </c>
      <c r="H1" s="6" t="s">
        <v>116</v>
      </c>
    </row>
    <row r="2" customFormat="false" ht="15" hidden="false" customHeight="false" outlineLevel="0" collapsed="false">
      <c r="A2" s="7" t="s">
        <v>117</v>
      </c>
      <c r="B2" s="7" t="s">
        <v>55</v>
      </c>
      <c r="C2" s="7" t="s">
        <v>118</v>
      </c>
      <c r="D2" s="7" t="s">
        <v>46</v>
      </c>
      <c r="E2" s="7" t="s">
        <v>101</v>
      </c>
      <c r="F2" s="7" t="s">
        <v>119</v>
      </c>
      <c r="G2" s="7" t="s">
        <v>120</v>
      </c>
      <c r="H2" s="7" t="s">
        <v>121</v>
      </c>
    </row>
    <row r="3" customFormat="false" ht="26.85" hidden="false" customHeight="false" outlineLevel="0" collapsed="false">
      <c r="A3" s="8" t="s">
        <v>122</v>
      </c>
      <c r="B3" s="8" t="s">
        <v>66</v>
      </c>
      <c r="C3" s="8" t="s">
        <v>38</v>
      </c>
      <c r="D3" s="8" t="s">
        <v>57</v>
      </c>
      <c r="E3" s="8" t="s">
        <v>105</v>
      </c>
      <c r="F3" s="8" t="s">
        <v>123</v>
      </c>
      <c r="G3" s="8" t="s">
        <v>124</v>
      </c>
      <c r="H3" s="8" t="s">
        <v>125</v>
      </c>
    </row>
    <row r="4" customFormat="false" ht="15" hidden="false" customHeight="false" outlineLevel="0" collapsed="false">
      <c r="A4" s="7" t="s">
        <v>126</v>
      </c>
      <c r="B4" s="7" t="s">
        <v>75</v>
      </c>
      <c r="C4" s="7" t="s">
        <v>127</v>
      </c>
      <c r="D4" s="7" t="s">
        <v>68</v>
      </c>
      <c r="E4" s="7" t="s">
        <v>109</v>
      </c>
      <c r="F4" s="7" t="s">
        <v>128</v>
      </c>
      <c r="G4" s="7" t="s">
        <v>129</v>
      </c>
      <c r="H4" s="7" t="s">
        <v>130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</row>
  </sheetData>
  <dataValidations count="1">
    <dataValidation allowBlank="true" errorStyle="stop" operator="between" showDropDown="false" showErrorMessage="false" showInputMessage="false" sqref="C2:C201" type="list">
      <formula1>"Call,Email,Meeting,Site Visit,Demo,Note"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31.5" hidden="false" customHeight="true" outlineLevel="0" collapsed="false">
      <c r="A1" s="6" t="s">
        <v>35</v>
      </c>
      <c r="B1" s="6" t="s">
        <v>27</v>
      </c>
      <c r="C1" s="6" t="s">
        <v>131</v>
      </c>
      <c r="D1" s="6" t="s">
        <v>132</v>
      </c>
      <c r="E1" s="6" t="s">
        <v>42</v>
      </c>
      <c r="F1" s="6" t="s">
        <v>54</v>
      </c>
      <c r="G1" s="6" t="s">
        <v>133</v>
      </c>
      <c r="H1" s="6" t="s">
        <v>134</v>
      </c>
      <c r="I1" s="6" t="s">
        <v>135</v>
      </c>
    </row>
    <row r="2" customFormat="false" ht="26.85" hidden="false" customHeight="false" outlineLevel="0" collapsed="false">
      <c r="A2" s="7" t="s">
        <v>136</v>
      </c>
      <c r="B2" s="7" t="s">
        <v>46</v>
      </c>
      <c r="C2" s="7" t="s">
        <v>137</v>
      </c>
      <c r="D2" s="7" t="s">
        <v>138</v>
      </c>
      <c r="E2" s="7" t="s">
        <v>139</v>
      </c>
      <c r="F2" s="7" t="s">
        <v>140</v>
      </c>
      <c r="G2" s="7" t="s">
        <v>141</v>
      </c>
      <c r="H2" s="7" t="s">
        <v>142</v>
      </c>
      <c r="I2" s="7" t="s">
        <v>143</v>
      </c>
    </row>
    <row r="3" customFormat="false" ht="26.85" hidden="false" customHeight="false" outlineLevel="0" collapsed="false">
      <c r="A3" s="8" t="s">
        <v>144</v>
      </c>
      <c r="B3" s="8" t="s">
        <v>57</v>
      </c>
      <c r="C3" s="8" t="s">
        <v>145</v>
      </c>
      <c r="D3" s="8" t="s">
        <v>146</v>
      </c>
      <c r="E3" s="8" t="s">
        <v>147</v>
      </c>
      <c r="F3" s="8" t="s">
        <v>148</v>
      </c>
      <c r="G3" s="8" t="s">
        <v>149</v>
      </c>
      <c r="H3" s="8" t="s">
        <v>150</v>
      </c>
      <c r="I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</row>
  </sheetData>
  <dataValidations count="3">
    <dataValidation allowBlank="true" errorStyle="stop" operator="between" showDropDown="false" showErrorMessage="false" showInputMessage="false" sqref="C2:C201" type="list">
      <formula1>"Billing,Delivery Delay,Product Defect,Service Issue,General Inquiry,Other"</formula1>
      <formula2>0</formula2>
    </dataValidation>
    <dataValidation allowBlank="true" errorStyle="stop" operator="between" showDropDown="false" showErrorMessage="false" showInputMessage="false" sqref="E2:E201" type="list">
      <formula1>"Open,In Progress,Waiting on Customer,Resolved,Closed"</formula1>
      <formula2>0</formula2>
    </dataValidation>
    <dataValidation allowBlank="true" errorStyle="stop" operator="between" showDropDown="false" showErrorMessage="false" showInputMessage="false" sqref="F2:F201" type="list">
      <formula1>"Low,Medium,High,Urgent"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6.15" hidden="false" customHeight="false" outlineLevel="0" collapsed="false">
      <c r="A4" s="5" t="s">
        <v>153</v>
      </c>
    </row>
    <row r="5" customFormat="false" ht="27.75" hidden="false" customHeight="true" outlineLevel="0" collapsed="false">
      <c r="A5" s="6" t="s">
        <v>95</v>
      </c>
      <c r="B5" s="6" t="s">
        <v>154</v>
      </c>
      <c r="C5" s="6" t="s">
        <v>155</v>
      </c>
      <c r="D5" s="6" t="s">
        <v>98</v>
      </c>
    </row>
    <row r="6" customFormat="false" ht="15" hidden="false" customHeight="false" outlineLevel="0" collapsed="false">
      <c r="A6" s="7" t="s">
        <v>111</v>
      </c>
      <c r="B6" s="13" t="n">
        <f aca="false">COUNTIF(Deals!$E$2:$E$201,A6)</f>
        <v>1</v>
      </c>
      <c r="C6" s="14" t="n">
        <f aca="false">SUMIF(Deals!$E$2:$E$201,A6,Deals!$F$2:$F$201)</f>
        <v>75000</v>
      </c>
      <c r="D6" s="14" t="n">
        <f aca="false">SUMIF(Deals!$E$2:$E$201,A6,Deals!$H$2:$H$201)</f>
        <v>7500</v>
      </c>
    </row>
    <row r="7" customFormat="false" ht="15" hidden="false" customHeight="false" outlineLevel="0" collapsed="false">
      <c r="A7" s="8" t="s">
        <v>156</v>
      </c>
      <c r="B7" s="15" t="n">
        <f aca="false">COUNTIF(Deals!$E$2:$E$201,A7)</f>
        <v>0</v>
      </c>
      <c r="C7" s="16" t="n">
        <f aca="false">SUMIF(Deals!$E$2:$E$201,A7,Deals!$F$2:$F$201)</f>
        <v>0</v>
      </c>
      <c r="D7" s="16" t="n">
        <f aca="false">SUMIF(Deals!$E$2:$E$201,A7,Deals!$H$2:$H$201)</f>
        <v>0</v>
      </c>
    </row>
    <row r="8" customFormat="false" ht="15" hidden="false" customHeight="false" outlineLevel="0" collapsed="false">
      <c r="A8" s="7" t="s">
        <v>107</v>
      </c>
      <c r="B8" s="13" t="n">
        <f aca="false">COUNTIF(Deals!$E$2:$E$201,A8)</f>
        <v>1</v>
      </c>
      <c r="C8" s="14" t="n">
        <f aca="false">SUMIF(Deals!$E$2:$E$201,A8,Deals!$F$2:$F$201)</f>
        <v>320000</v>
      </c>
      <c r="D8" s="14" t="n">
        <f aca="false">SUMIF(Deals!$E$2:$E$201,A8,Deals!$H$2:$H$201)</f>
        <v>128000</v>
      </c>
    </row>
    <row r="9" customFormat="false" ht="15" hidden="false" customHeight="false" outlineLevel="0" collapsed="false">
      <c r="A9" s="8" t="s">
        <v>103</v>
      </c>
      <c r="B9" s="15" t="n">
        <f aca="false">COUNTIF(Deals!$E$2:$E$201,A9)</f>
        <v>1</v>
      </c>
      <c r="C9" s="16" t="n">
        <f aca="false">SUMIF(Deals!$E$2:$E$201,A9,Deals!$F$2:$F$201)</f>
        <v>850000</v>
      </c>
      <c r="D9" s="16" t="n">
        <f aca="false">SUMIF(Deals!$E$2:$E$201,A9,Deals!$H$2:$H$201)</f>
        <v>595000</v>
      </c>
    </row>
    <row r="10" customFormat="false" ht="15" hidden="false" customHeight="false" outlineLevel="0" collapsed="false">
      <c r="A10" s="7" t="s">
        <v>157</v>
      </c>
      <c r="B10" s="13" t="n">
        <f aca="false">COUNTIF(Deals!$E$2:$E$201,A10)</f>
        <v>0</v>
      </c>
      <c r="C10" s="14" t="n">
        <f aca="false">SUMIF(Deals!$E$2:$E$201,A10,Deals!$F$2:$F$201)</f>
        <v>0</v>
      </c>
      <c r="D10" s="14" t="n">
        <f aca="false">SUMIF(Deals!$E$2:$E$201,A10,Deals!$H$2:$H$201)</f>
        <v>0</v>
      </c>
    </row>
    <row r="11" customFormat="false" ht="15" hidden="false" customHeight="false" outlineLevel="0" collapsed="false">
      <c r="A11" s="8" t="s">
        <v>158</v>
      </c>
      <c r="B11" s="15" t="n">
        <f aca="false">COUNTIF(Deals!$E$2:$E$201,A11)</f>
        <v>0</v>
      </c>
      <c r="C11" s="16" t="n">
        <f aca="false">SUMIF(Deals!$E$2:$E$201,A11,Deals!$F$2:$F$201)</f>
        <v>0</v>
      </c>
      <c r="D11" s="16" t="n">
        <f aca="false">SUMIF(Deals!$E$2:$E$201,A11,Deals!$H$2:$H$201)</f>
        <v>0</v>
      </c>
    </row>
    <row r="12" customFormat="false" ht="15" hidden="false" customHeight="false" outlineLevel="0" collapsed="false">
      <c r="A12" s="17" t="s">
        <v>159</v>
      </c>
      <c r="B12" s="18" t="n">
        <f aca="false">SUM(B6:B11)</f>
        <v>3</v>
      </c>
      <c r="C12" s="19" t="n">
        <f aca="false">SUM(C6:C11)</f>
        <v>1245000</v>
      </c>
      <c r="D12" s="19" t="n">
        <f aca="false">SUM(D6:D11)</f>
        <v>730500</v>
      </c>
    </row>
    <row r="14" customFormat="false" ht="16.15" hidden="false" customHeight="false" outlineLevel="0" collapsed="false">
      <c r="A14" s="5" t="s">
        <v>160</v>
      </c>
    </row>
    <row r="15" customFormat="false" ht="15" hidden="false" customHeight="false" outlineLevel="0" collapsed="false">
      <c r="A15" s="20" t="s">
        <v>161</v>
      </c>
      <c r="B15" s="16" t="n">
        <f aca="false">SUMIFS(Deals!$F$2:$F$201,Deals!$E$2:$E$201,"&lt;&gt;Won",Deals!$E$2:$E$201,"&lt;&gt;Lost",Deals!$E$2:$E$201,"&lt;&gt;")</f>
        <v>1245000</v>
      </c>
    </row>
    <row r="16" customFormat="false" ht="26.85" hidden="false" customHeight="false" outlineLevel="0" collapsed="false">
      <c r="A16" s="17" t="s">
        <v>162</v>
      </c>
      <c r="B16" s="14" t="n">
        <f aca="false">SUMIFS(Deals!$H$2:$H$201,Deals!$E$2:$E$201,"&lt;&gt;Won",Deals!$E$2:$E$201,"&lt;&gt;Lost",Deals!$E$2:$E$201,"&lt;&gt;")</f>
        <v>730500</v>
      </c>
    </row>
    <row r="17" customFormat="false" ht="15" hidden="false" customHeight="false" outlineLevel="0" collapsed="false">
      <c r="A17" s="20" t="s">
        <v>163</v>
      </c>
      <c r="B17" s="21" t="n">
        <f aca="false">COUNTIF(Deals!$E$2:$E$201,"Won")</f>
        <v>0</v>
      </c>
    </row>
    <row r="18" customFormat="false" ht="15" hidden="false" customHeight="false" outlineLevel="0" collapsed="false">
      <c r="A18" s="17" t="s">
        <v>164</v>
      </c>
      <c r="B18" s="22" t="n">
        <f aca="false">COUNTIF(Deals!$E$2:$E$201,"Lost")</f>
        <v>0</v>
      </c>
    </row>
    <row r="19" customFormat="false" ht="15" hidden="false" customHeight="false" outlineLevel="0" collapsed="false">
      <c r="A19" s="20" t="s">
        <v>165</v>
      </c>
      <c r="B19" s="23" t="str">
        <f aca="false">IFERROR(COUNTIF(Deals!$E$2:$E$201,"Won")/(COUNTIF(Deals!$E$2:$E$201,"Won")+COUNTIF(Deals!$E$2:$E$201,"Lost")),"-")</f>
        <v>-</v>
      </c>
    </row>
    <row r="20" customFormat="false" ht="15" hidden="false" customHeight="false" outlineLevel="0" collapsed="false">
      <c r="A20" s="17" t="s">
        <v>166</v>
      </c>
      <c r="B20" s="14" t="n">
        <f aca="false">SUMIF(Deals!$E$2:$E$201,"Won",Deals!$F$2:$F$201)</f>
        <v>0</v>
      </c>
    </row>
    <row r="22" customFormat="false" ht="16.15" hidden="false" customHeight="false" outlineLevel="0" collapsed="false">
      <c r="A22" s="5" t="s">
        <v>167</v>
      </c>
    </row>
    <row r="23" customFormat="false" ht="27.75" hidden="false" customHeight="true" outlineLevel="0" collapsed="false">
      <c r="A23" s="6" t="s">
        <v>33</v>
      </c>
      <c r="B23" s="6" t="s">
        <v>27</v>
      </c>
      <c r="C23" s="6" t="s">
        <v>115</v>
      </c>
      <c r="D23" s="6" t="s">
        <v>116</v>
      </c>
    </row>
    <row r="24" customFormat="false" ht="39.75" hidden="false" customHeight="true" outlineLevel="0" collapsed="false">
      <c r="A24" s="24" t="s">
        <v>168</v>
      </c>
      <c r="B24" s="24"/>
      <c r="C24" s="24"/>
      <c r="D24" s="24"/>
    </row>
  </sheetData>
  <mergeCells count="1"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2026-06-12T06:29:29Z</dcterms:created>
  <dc:creator>openpyxl</dc:creator>
  <dc:description/>
  <dc:language>en-US</dc:language>
  <cp:lastModifiedBy/>
  <dcterms:modified xsi:type="dcterms:W3CDTF">2026-06-12T06:29:29Z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